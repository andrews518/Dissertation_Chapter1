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 activeTab="6"/>
  </bookViews>
  <sheets>
    <sheet name="Final" sheetId="5" r:id="rId1"/>
    <sheet name="nosubqual" sheetId="1" r:id="rId2"/>
    <sheet name="nosubqual_sorted" sheetId="2" r:id="rId3"/>
    <sheet name="Sheet1" sheetId="6" r:id="rId4"/>
    <sheet name="cover_y2p25eb" sheetId="7" r:id="rId5"/>
    <sheet name="Dive" sheetId="8" r:id="rId6"/>
    <sheet name="Photo Frame" sheetId="9" r:id="rId7"/>
    <sheet name="Ekman" sheetId="10" r:id="rId8"/>
  </sheets>
  <definedNames>
    <definedName name="_xlnm._FilterDatabase" localSheetId="5" hidden="1">Dive!$A$1:$S$1</definedName>
    <definedName name="_xlnm._FilterDatabase" localSheetId="0" hidden="1">Final!$A$1:$U$335</definedName>
    <definedName name="_xlnm._FilterDatabase" localSheetId="1" hidden="1">nosubqual!$A$1:$L$338</definedName>
    <definedName name="_xlnm._FilterDatabase" localSheetId="2" hidden="1">nosubqual_sorted!$A$1:$N$1</definedName>
    <definedName name="_xlnm._FilterDatabase" localSheetId="6" hidden="1">'Photo Frame'!$A$1:$P$220</definedName>
    <definedName name="_xlnm._FilterDatabase" localSheetId="3" hidden="1">Sheet1!$A$1:$S$335</definedName>
  </definedNames>
  <calcPr calcId="145621"/>
</workbook>
</file>

<file path=xl/calcChain.xml><?xml version="1.0" encoding="utf-8"?>
<calcChain xmlns="http://schemas.openxmlformats.org/spreadsheetml/2006/main">
  <c r="G6" i="8" l="1"/>
  <c r="G12" i="8"/>
  <c r="G16" i="8"/>
  <c r="G20" i="8"/>
  <c r="G29" i="8"/>
  <c r="G30" i="8"/>
  <c r="G34" i="8"/>
  <c r="G38" i="8"/>
  <c r="G45" i="8"/>
  <c r="F73" i="8" l="1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F65" i="8"/>
  <c r="G65" i="8" s="1"/>
  <c r="F64" i="8"/>
  <c r="G64" i="8" s="1"/>
  <c r="F63" i="8"/>
  <c r="G63" i="8" s="1"/>
  <c r="F62" i="8"/>
  <c r="G62" i="8" s="1"/>
  <c r="F61" i="8"/>
  <c r="G61" i="8" s="1"/>
  <c r="F60" i="8"/>
  <c r="G60" i="8" s="1"/>
  <c r="F59" i="8"/>
  <c r="G59" i="8" s="1"/>
  <c r="F58" i="8"/>
  <c r="G58" i="8" s="1"/>
  <c r="F57" i="8"/>
  <c r="G57" i="8" s="1"/>
  <c r="F56" i="8"/>
  <c r="G56" i="8" s="1"/>
  <c r="F55" i="8"/>
  <c r="G55" i="8" s="1"/>
  <c r="F54" i="8"/>
  <c r="G54" i="8" s="1"/>
  <c r="F53" i="8"/>
  <c r="G53" i="8" s="1"/>
  <c r="F52" i="8"/>
  <c r="G52" i="8" s="1"/>
  <c r="F51" i="8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4" i="8"/>
  <c r="G44" i="8" s="1"/>
  <c r="F43" i="8"/>
  <c r="G43" i="8" s="1"/>
  <c r="F42" i="8"/>
  <c r="G42" i="8" s="1"/>
  <c r="F41" i="8"/>
  <c r="G41" i="8" s="1"/>
  <c r="F40" i="8"/>
  <c r="G40" i="8" s="1"/>
  <c r="F39" i="8"/>
  <c r="G39" i="8" s="1"/>
  <c r="F37" i="8"/>
  <c r="G37" i="8" s="1"/>
  <c r="F36" i="8"/>
  <c r="G36" i="8" s="1"/>
  <c r="F35" i="8"/>
  <c r="G35" i="8" s="1"/>
  <c r="F33" i="8"/>
  <c r="G33" i="8" s="1"/>
  <c r="F32" i="8"/>
  <c r="G32" i="8" s="1"/>
  <c r="F31" i="8"/>
  <c r="G31" i="8" s="1"/>
  <c r="F28" i="8"/>
  <c r="G28" i="8" s="1"/>
  <c r="F25" i="8"/>
  <c r="G25" i="8" s="1"/>
  <c r="F27" i="8"/>
  <c r="G27" i="8" s="1"/>
  <c r="F26" i="8"/>
  <c r="G26" i="8" s="1"/>
  <c r="F22" i="8"/>
  <c r="G22" i="8" s="1"/>
  <c r="F24" i="8"/>
  <c r="G24" i="8" s="1"/>
  <c r="F23" i="8"/>
  <c r="G23" i="8" s="1"/>
  <c r="F19" i="8"/>
  <c r="G19" i="8" s="1"/>
  <c r="F21" i="8"/>
  <c r="G21" i="8" s="1"/>
  <c r="F18" i="8"/>
  <c r="G18" i="8" s="1"/>
  <c r="F17" i="8"/>
  <c r="G17" i="8" s="1"/>
  <c r="F15" i="8"/>
  <c r="G15" i="8" s="1"/>
  <c r="F14" i="8"/>
  <c r="G14" i="8" s="1"/>
  <c r="F13" i="8"/>
  <c r="G13" i="8" s="1"/>
  <c r="F9" i="8"/>
  <c r="G9" i="8" s="1"/>
  <c r="F11" i="8"/>
  <c r="G11" i="8" s="1"/>
  <c r="F10" i="8"/>
  <c r="G10" i="8" s="1"/>
  <c r="F8" i="8"/>
  <c r="G8" i="8" s="1"/>
  <c r="F7" i="8"/>
  <c r="G7" i="8" s="1"/>
  <c r="F5" i="8"/>
  <c r="G5" i="8" s="1"/>
  <c r="F4" i="8"/>
  <c r="G4" i="8" s="1"/>
  <c r="F3" i="8"/>
  <c r="G3" i="8" s="1"/>
  <c r="F2" i="8"/>
  <c r="G2" i="8" s="1"/>
  <c r="D315" i="5"/>
  <c r="D312" i="5"/>
  <c r="D309" i="5"/>
  <c r="D306" i="5"/>
  <c r="D299" i="5"/>
  <c r="D300" i="5"/>
  <c r="D301" i="5"/>
  <c r="D302" i="5"/>
  <c r="D294" i="5"/>
  <c r="D285" i="5"/>
  <c r="C293" i="5"/>
  <c r="D293" i="5" s="1"/>
  <c r="C297" i="5"/>
  <c r="D297" i="5" s="1"/>
  <c r="C298" i="5"/>
  <c r="D298" i="5" s="1"/>
  <c r="C295" i="5"/>
  <c r="D295" i="5" s="1"/>
  <c r="C296" i="5"/>
  <c r="D296" i="5" s="1"/>
  <c r="C303" i="5"/>
  <c r="D303" i="5" s="1"/>
  <c r="C304" i="5"/>
  <c r="D304" i="5" s="1"/>
  <c r="C305" i="5"/>
  <c r="D305" i="5" s="1"/>
  <c r="C307" i="5"/>
  <c r="D307" i="5" s="1"/>
  <c r="C308" i="5"/>
  <c r="D308" i="5" s="1"/>
  <c r="C310" i="5"/>
  <c r="D310" i="5" s="1"/>
  <c r="C311" i="5"/>
  <c r="D311" i="5" s="1"/>
  <c r="C313" i="5"/>
  <c r="D313" i="5" s="1"/>
  <c r="C314" i="5"/>
  <c r="D314" i="5" s="1"/>
  <c r="C316" i="5"/>
  <c r="D316" i="5" s="1"/>
  <c r="C317" i="5"/>
  <c r="D317" i="5" s="1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C257" i="5"/>
  <c r="D257" i="5" s="1"/>
  <c r="C258" i="5"/>
  <c r="D258" i="5" s="1"/>
  <c r="C259" i="5"/>
  <c r="D259" i="5" s="1"/>
  <c r="C260" i="5"/>
  <c r="D260" i="5" s="1"/>
  <c r="C261" i="5"/>
  <c r="D261" i="5" s="1"/>
  <c r="C262" i="5"/>
  <c r="D262" i="5" s="1"/>
  <c r="C263" i="5"/>
  <c r="D263" i="5" s="1"/>
  <c r="C264" i="5"/>
  <c r="D264" i="5" s="1"/>
  <c r="C280" i="5"/>
  <c r="D280" i="5" s="1"/>
  <c r="C281" i="5"/>
  <c r="D281" i="5" s="1"/>
  <c r="C282" i="5"/>
  <c r="D282" i="5" s="1"/>
  <c r="C283" i="5"/>
  <c r="D283" i="5" s="1"/>
  <c r="C284" i="5"/>
  <c r="D284" i="5" s="1"/>
  <c r="C286" i="5"/>
  <c r="D286" i="5" s="1"/>
  <c r="C287" i="5"/>
  <c r="D287" i="5" s="1"/>
  <c r="C288" i="5"/>
  <c r="D288" i="5" s="1"/>
  <c r="C289" i="5"/>
  <c r="D289" i="5" s="1"/>
  <c r="C290" i="5"/>
  <c r="D290" i="5" s="1"/>
  <c r="C291" i="5"/>
  <c r="D291" i="5" s="1"/>
  <c r="C292" i="5"/>
  <c r="D292" i="5" s="1"/>
  <c r="D244" i="5"/>
  <c r="D226" i="5"/>
  <c r="D227" i="5"/>
  <c r="D228" i="5"/>
  <c r="D229" i="5"/>
  <c r="D230" i="5"/>
  <c r="D231" i="5"/>
  <c r="D232" i="5"/>
  <c r="D233" i="5"/>
  <c r="D234" i="5"/>
  <c r="C223" i="5"/>
  <c r="D223" i="5" s="1"/>
  <c r="C224" i="5"/>
  <c r="D224" i="5" s="1"/>
  <c r="C225" i="5"/>
  <c r="D225" i="5" s="1"/>
  <c r="C235" i="5"/>
  <c r="D235" i="5" s="1"/>
  <c r="C236" i="5"/>
  <c r="D236" i="5" s="1"/>
  <c r="C237" i="5"/>
  <c r="D237" i="5" s="1"/>
  <c r="C238" i="5"/>
  <c r="D238" i="5" s="1"/>
  <c r="C239" i="5"/>
  <c r="D239" i="5" s="1"/>
  <c r="C240" i="5"/>
  <c r="D240" i="5" s="1"/>
  <c r="C241" i="5"/>
  <c r="D241" i="5" s="1"/>
  <c r="C242" i="5"/>
  <c r="D242" i="5" s="1"/>
  <c r="C243" i="5"/>
  <c r="D243" i="5" s="1"/>
  <c r="C245" i="5"/>
  <c r="D245" i="5" s="1"/>
  <c r="C246" i="5"/>
  <c r="D246" i="5" s="1"/>
  <c r="C247" i="5"/>
  <c r="D247" i="5" s="1"/>
  <c r="C248" i="5"/>
  <c r="D248" i="5" s="1"/>
  <c r="C249" i="5"/>
  <c r="D249" i="5" s="1"/>
  <c r="C250" i="5"/>
  <c r="D250" i="5" s="1"/>
  <c r="C251" i="5"/>
  <c r="D251" i="5" s="1"/>
  <c r="C252" i="5"/>
  <c r="D252" i="5" s="1"/>
  <c r="C253" i="5"/>
  <c r="D253" i="5" s="1"/>
  <c r="C254" i="5"/>
  <c r="D254" i="5" s="1"/>
  <c r="C255" i="5"/>
  <c r="D255" i="5" s="1"/>
  <c r="C256" i="5"/>
  <c r="D256" i="5" s="1"/>
  <c r="D212" i="5"/>
  <c r="D207" i="5"/>
  <c r="D208" i="5"/>
  <c r="D204" i="5"/>
  <c r="D205" i="5"/>
  <c r="D197" i="5"/>
  <c r="D198" i="5"/>
  <c r="D199" i="5"/>
  <c r="D200" i="5"/>
  <c r="D201" i="5"/>
  <c r="D188" i="5"/>
  <c r="D189" i="5"/>
  <c r="D190" i="5"/>
  <c r="D191" i="5"/>
  <c r="D192" i="5"/>
  <c r="D193" i="5"/>
  <c r="D194" i="5"/>
  <c r="D195" i="5"/>
  <c r="D178" i="5"/>
  <c r="D179" i="5"/>
  <c r="D180" i="5"/>
  <c r="D181" i="5"/>
  <c r="D182" i="5"/>
  <c r="D183" i="5"/>
  <c r="D184" i="5"/>
  <c r="D185" i="5"/>
  <c r="D156" i="5"/>
  <c r="D157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C128" i="5"/>
  <c r="D128" i="5" s="1"/>
  <c r="C129" i="5"/>
  <c r="D129" i="5" s="1"/>
  <c r="C155" i="5"/>
  <c r="D155" i="5" s="1"/>
  <c r="C158" i="5"/>
  <c r="D158" i="5" s="1"/>
  <c r="C159" i="5"/>
  <c r="D159" i="5" s="1"/>
  <c r="C160" i="5"/>
  <c r="D160" i="5" s="1"/>
  <c r="C161" i="5"/>
  <c r="D161" i="5" s="1"/>
  <c r="C162" i="5"/>
  <c r="D162" i="5" s="1"/>
  <c r="C163" i="5"/>
  <c r="D163" i="5" s="1"/>
  <c r="C164" i="5"/>
  <c r="D164" i="5" s="1"/>
  <c r="C165" i="5"/>
  <c r="D165" i="5" s="1"/>
  <c r="C166" i="5"/>
  <c r="D166" i="5" s="1"/>
  <c r="C167" i="5"/>
  <c r="D167" i="5" s="1"/>
  <c r="C168" i="5"/>
  <c r="D168" i="5" s="1"/>
  <c r="C169" i="5"/>
  <c r="D169" i="5" s="1"/>
  <c r="C170" i="5"/>
  <c r="D170" i="5" s="1"/>
  <c r="C171" i="5"/>
  <c r="D171" i="5" s="1"/>
  <c r="C172" i="5"/>
  <c r="D172" i="5" s="1"/>
  <c r="C173" i="5"/>
  <c r="D173" i="5" s="1"/>
  <c r="C174" i="5"/>
  <c r="D174" i="5" s="1"/>
  <c r="C175" i="5"/>
  <c r="D175" i="5" s="1"/>
  <c r="C176" i="5"/>
  <c r="D176" i="5" s="1"/>
  <c r="C177" i="5"/>
  <c r="D177" i="5" s="1"/>
  <c r="C186" i="5"/>
  <c r="D186" i="5" s="1"/>
  <c r="C187" i="5"/>
  <c r="D187" i="5" s="1"/>
  <c r="C196" i="5"/>
  <c r="D196" i="5" s="1"/>
  <c r="C202" i="5"/>
  <c r="D202" i="5" s="1"/>
  <c r="C203" i="5"/>
  <c r="D203" i="5" s="1"/>
  <c r="C206" i="5"/>
  <c r="D206" i="5" s="1"/>
  <c r="C209" i="5"/>
  <c r="D209" i="5" s="1"/>
  <c r="C210" i="5"/>
  <c r="D210" i="5" s="1"/>
  <c r="C211" i="5"/>
  <c r="D211" i="5" s="1"/>
  <c r="C213" i="5"/>
  <c r="D213" i="5" s="1"/>
  <c r="C214" i="5"/>
  <c r="D214" i="5" s="1"/>
  <c r="C215" i="5"/>
  <c r="D215" i="5" s="1"/>
  <c r="C216" i="5"/>
  <c r="D216" i="5" s="1"/>
  <c r="C217" i="5"/>
  <c r="D217" i="5" s="1"/>
  <c r="C218" i="5"/>
  <c r="D218" i="5" s="1"/>
  <c r="C219" i="5"/>
  <c r="D219" i="5" s="1"/>
  <c r="C220" i="5"/>
  <c r="D220" i="5" s="1"/>
  <c r="C221" i="5"/>
  <c r="D221" i="5" s="1"/>
  <c r="C222" i="5"/>
  <c r="D222" i="5" s="1"/>
  <c r="D117" i="5"/>
  <c r="D114" i="5"/>
  <c r="D107" i="5"/>
  <c r="D94" i="5"/>
  <c r="D95" i="5"/>
  <c r="D96" i="5"/>
  <c r="D97" i="5"/>
  <c r="D98" i="5"/>
  <c r="D99" i="5"/>
  <c r="D84" i="5"/>
  <c r="D82" i="5"/>
  <c r="D80" i="5"/>
  <c r="D72" i="5"/>
  <c r="C85" i="5"/>
  <c r="D85" i="5" s="1"/>
  <c r="C86" i="5"/>
  <c r="D86" i="5" s="1"/>
  <c r="C87" i="5"/>
  <c r="D87" i="5" s="1"/>
  <c r="C88" i="5"/>
  <c r="D88" i="5" s="1"/>
  <c r="C89" i="5"/>
  <c r="D89" i="5" s="1"/>
  <c r="C90" i="5"/>
  <c r="D90" i="5" s="1"/>
  <c r="C91" i="5"/>
  <c r="D91" i="5" s="1"/>
  <c r="C92" i="5"/>
  <c r="D92" i="5" s="1"/>
  <c r="C93" i="5"/>
  <c r="D93" i="5" s="1"/>
  <c r="C100" i="5"/>
  <c r="D100" i="5" s="1"/>
  <c r="C101" i="5"/>
  <c r="D101" i="5" s="1"/>
  <c r="C102" i="5"/>
  <c r="D102" i="5" s="1"/>
  <c r="C103" i="5"/>
  <c r="D103" i="5" s="1"/>
  <c r="C104" i="5"/>
  <c r="D104" i="5" s="1"/>
  <c r="C105" i="5"/>
  <c r="D105" i="5" s="1"/>
  <c r="C106" i="5"/>
  <c r="D106" i="5" s="1"/>
  <c r="C108" i="5"/>
  <c r="D108" i="5" s="1"/>
  <c r="C109" i="5"/>
  <c r="D109" i="5" s="1"/>
  <c r="C110" i="5"/>
  <c r="D110" i="5" s="1"/>
  <c r="C111" i="5"/>
  <c r="D111" i="5" s="1"/>
  <c r="C112" i="5"/>
  <c r="D112" i="5" s="1"/>
  <c r="C113" i="5"/>
  <c r="D113" i="5" s="1"/>
  <c r="C115" i="5"/>
  <c r="D115" i="5" s="1"/>
  <c r="C116" i="5"/>
  <c r="D116" i="5" s="1"/>
  <c r="C118" i="5"/>
  <c r="D118" i="5" s="1"/>
  <c r="C119" i="5"/>
  <c r="D119" i="5" s="1"/>
  <c r="C120" i="5"/>
  <c r="D120" i="5" s="1"/>
  <c r="C121" i="5"/>
  <c r="D121" i="5" s="1"/>
  <c r="C122" i="5"/>
  <c r="D122" i="5" s="1"/>
  <c r="C123" i="5"/>
  <c r="D123" i="5" s="1"/>
  <c r="C124" i="5"/>
  <c r="D124" i="5" s="1"/>
  <c r="C125" i="5"/>
  <c r="D125" i="5" s="1"/>
  <c r="C126" i="5"/>
  <c r="D126" i="5" s="1"/>
  <c r="C127" i="5"/>
  <c r="D127" i="5" s="1"/>
  <c r="C71" i="5"/>
  <c r="D71" i="5" s="1"/>
  <c r="C73" i="5"/>
  <c r="D73" i="5" s="1"/>
  <c r="C74" i="5"/>
  <c r="D74" i="5" s="1"/>
  <c r="C75" i="5"/>
  <c r="D75" i="5" s="1"/>
  <c r="C76" i="5"/>
  <c r="D76" i="5" s="1"/>
  <c r="C77" i="5"/>
  <c r="D77" i="5" s="1"/>
  <c r="C78" i="5"/>
  <c r="D78" i="5" s="1"/>
  <c r="C79" i="5"/>
  <c r="D79" i="5" s="1"/>
  <c r="C81" i="5"/>
  <c r="D81" i="5" s="1"/>
  <c r="C83" i="5"/>
  <c r="D83" i="5" s="1"/>
  <c r="D67" i="5"/>
  <c r="D64" i="5"/>
  <c r="D58" i="5"/>
  <c r="D59" i="5"/>
  <c r="D60" i="5"/>
  <c r="D61" i="5"/>
  <c r="D45" i="5"/>
  <c r="D46" i="5"/>
  <c r="D47" i="5"/>
  <c r="D48" i="5"/>
  <c r="D49" i="5"/>
  <c r="D50" i="5"/>
  <c r="D51" i="5"/>
  <c r="D52" i="5"/>
  <c r="D53" i="5"/>
  <c r="D54" i="5"/>
  <c r="D55" i="5"/>
  <c r="C39" i="5" l="1"/>
  <c r="D39" i="5" s="1"/>
  <c r="C40" i="5"/>
  <c r="D40" i="5" s="1"/>
  <c r="C41" i="5"/>
  <c r="D41" i="5" s="1"/>
  <c r="C42" i="5"/>
  <c r="D42" i="5" s="1"/>
  <c r="C43" i="5"/>
  <c r="D43" i="5" s="1"/>
  <c r="C44" i="5"/>
  <c r="D44" i="5" s="1"/>
  <c r="C56" i="5"/>
  <c r="D56" i="5" s="1"/>
  <c r="C57" i="5"/>
  <c r="D57" i="5" s="1"/>
  <c r="C62" i="5"/>
  <c r="D62" i="5" s="1"/>
  <c r="C63" i="5"/>
  <c r="D63" i="5" s="1"/>
  <c r="C65" i="5"/>
  <c r="D65" i="5" s="1"/>
  <c r="C66" i="5"/>
  <c r="D66" i="5" s="1"/>
  <c r="C68" i="5"/>
  <c r="D68" i="5" s="1"/>
  <c r="C69" i="5"/>
  <c r="D69" i="5" s="1"/>
  <c r="C70" i="5"/>
  <c r="D70" i="5" s="1"/>
  <c r="D29" i="5"/>
  <c r="D30" i="5"/>
  <c r="D23" i="5"/>
  <c r="D24" i="5"/>
  <c r="D25" i="5"/>
  <c r="D26" i="5"/>
  <c r="D13" i="5"/>
  <c r="D14" i="5"/>
  <c r="C27" i="5"/>
  <c r="D27" i="5" s="1"/>
  <c r="C28" i="5"/>
  <c r="D28" i="5" s="1"/>
  <c r="C31" i="5"/>
  <c r="D31" i="5" s="1"/>
  <c r="C32" i="5"/>
  <c r="D32" i="5" s="1"/>
  <c r="C33" i="5"/>
  <c r="D33" i="5" s="1"/>
  <c r="C34" i="5"/>
  <c r="D34" i="5" s="1"/>
  <c r="C35" i="5"/>
  <c r="D35" i="5" s="1"/>
  <c r="C36" i="5"/>
  <c r="D36" i="5" s="1"/>
  <c r="C37" i="5"/>
  <c r="D37" i="5" s="1"/>
  <c r="C38" i="5"/>
  <c r="D38" i="5" s="1"/>
  <c r="C9" i="5"/>
  <c r="D9" i="5" s="1"/>
  <c r="C10" i="5"/>
  <c r="D10" i="5" s="1"/>
  <c r="C11" i="5"/>
  <c r="D11" i="5" s="1"/>
  <c r="C12" i="5"/>
  <c r="D12" i="5" s="1"/>
  <c r="C15" i="5"/>
  <c r="D15" i="5" s="1"/>
  <c r="C16" i="5"/>
  <c r="D16" i="5" s="1"/>
  <c r="C17" i="5"/>
  <c r="D17" i="5" s="1"/>
  <c r="C18" i="5"/>
  <c r="D18" i="5" s="1"/>
  <c r="C19" i="5"/>
  <c r="D19" i="5" s="1"/>
  <c r="C20" i="5"/>
  <c r="D20" i="5" s="1"/>
  <c r="C21" i="5"/>
  <c r="D21" i="5" s="1"/>
  <c r="C22" i="5"/>
  <c r="D22" i="5" s="1"/>
  <c r="C8" i="5"/>
  <c r="D8" i="5" s="1"/>
  <c r="F11" i="7" l="1"/>
  <c r="F12" i="7"/>
  <c r="F7" i="7"/>
  <c r="F8" i="7"/>
  <c r="F9" i="7"/>
  <c r="E3" i="7"/>
  <c r="F3" i="7" s="1"/>
  <c r="E4" i="7"/>
  <c r="F4" i="7" s="1"/>
  <c r="E5" i="7"/>
  <c r="F5" i="7" s="1"/>
  <c r="E6" i="7"/>
  <c r="F6" i="7" s="1"/>
  <c r="E10" i="7"/>
  <c r="F10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  <c r="E136" i="7"/>
  <c r="F136" i="7" s="1"/>
  <c r="E137" i="7"/>
  <c r="F137" i="7" s="1"/>
  <c r="E138" i="7"/>
  <c r="F138" i="7" s="1"/>
  <c r="E139" i="7"/>
  <c r="F139" i="7" s="1"/>
  <c r="E140" i="7"/>
  <c r="F140" i="7" s="1"/>
  <c r="E141" i="7"/>
  <c r="F141" i="7" s="1"/>
  <c r="E142" i="7"/>
  <c r="F142" i="7" s="1"/>
  <c r="E143" i="7"/>
  <c r="F143" i="7" s="1"/>
  <c r="E144" i="7"/>
  <c r="F144" i="7" s="1"/>
  <c r="E145" i="7"/>
  <c r="F145" i="7" s="1"/>
  <c r="E146" i="7"/>
  <c r="F146" i="7" s="1"/>
  <c r="E147" i="7"/>
  <c r="F147" i="7" s="1"/>
  <c r="E148" i="7"/>
  <c r="F148" i="7" s="1"/>
  <c r="E149" i="7"/>
  <c r="F149" i="7" s="1"/>
  <c r="E150" i="7"/>
  <c r="F150" i="7" s="1"/>
  <c r="E151" i="7"/>
  <c r="F151" i="7" s="1"/>
  <c r="E152" i="7"/>
  <c r="F152" i="7" s="1"/>
  <c r="E153" i="7"/>
  <c r="F153" i="7" s="1"/>
  <c r="E154" i="7"/>
  <c r="F154" i="7" s="1"/>
  <c r="E155" i="7"/>
  <c r="F155" i="7" s="1"/>
  <c r="E156" i="7"/>
  <c r="F156" i="7" s="1"/>
  <c r="E157" i="7"/>
  <c r="F157" i="7" s="1"/>
  <c r="E158" i="7"/>
  <c r="F158" i="7" s="1"/>
  <c r="E159" i="7"/>
  <c r="F159" i="7" s="1"/>
  <c r="E160" i="7"/>
  <c r="F160" i="7" s="1"/>
  <c r="E161" i="7"/>
  <c r="F161" i="7" s="1"/>
  <c r="E162" i="7"/>
  <c r="F162" i="7" s="1"/>
  <c r="E163" i="7"/>
  <c r="F163" i="7" s="1"/>
  <c r="E164" i="7"/>
  <c r="F164" i="7" s="1"/>
  <c r="E165" i="7"/>
  <c r="F165" i="7" s="1"/>
  <c r="E166" i="7"/>
  <c r="F166" i="7" s="1"/>
  <c r="E167" i="7"/>
  <c r="F167" i="7" s="1"/>
  <c r="E168" i="7"/>
  <c r="F168" i="7" s="1"/>
  <c r="E169" i="7"/>
  <c r="F169" i="7" s="1"/>
  <c r="E170" i="7"/>
  <c r="F170" i="7" s="1"/>
  <c r="E171" i="7"/>
  <c r="F171" i="7" s="1"/>
  <c r="E172" i="7"/>
  <c r="F172" i="7" s="1"/>
  <c r="E173" i="7"/>
  <c r="F173" i="7" s="1"/>
  <c r="E174" i="7"/>
  <c r="F174" i="7" s="1"/>
  <c r="E175" i="7"/>
  <c r="F175" i="7" s="1"/>
  <c r="E176" i="7"/>
  <c r="F176" i="7" s="1"/>
  <c r="E177" i="7"/>
  <c r="F177" i="7" s="1"/>
  <c r="E178" i="7"/>
  <c r="F178" i="7" s="1"/>
  <c r="E179" i="7"/>
  <c r="F179" i="7" s="1"/>
  <c r="E180" i="7"/>
  <c r="F180" i="7" s="1"/>
  <c r="E181" i="7"/>
  <c r="F181" i="7" s="1"/>
  <c r="E182" i="7"/>
  <c r="F182" i="7" s="1"/>
  <c r="E183" i="7"/>
  <c r="F183" i="7" s="1"/>
  <c r="E184" i="7"/>
  <c r="F184" i="7" s="1"/>
  <c r="E185" i="7"/>
  <c r="F185" i="7" s="1"/>
  <c r="E186" i="7"/>
  <c r="F186" i="7" s="1"/>
  <c r="E187" i="7"/>
  <c r="F187" i="7" s="1"/>
  <c r="E188" i="7"/>
  <c r="F188" i="7" s="1"/>
  <c r="E189" i="7"/>
  <c r="F189" i="7" s="1"/>
  <c r="E190" i="7"/>
  <c r="F190" i="7" s="1"/>
  <c r="E191" i="7"/>
  <c r="F191" i="7" s="1"/>
  <c r="E192" i="7"/>
  <c r="F192" i="7" s="1"/>
  <c r="E193" i="7"/>
  <c r="F193" i="7" s="1"/>
  <c r="E194" i="7"/>
  <c r="F194" i="7" s="1"/>
  <c r="E195" i="7"/>
  <c r="F195" i="7" s="1"/>
  <c r="E196" i="7"/>
  <c r="F196" i="7" s="1"/>
  <c r="E197" i="7"/>
  <c r="F197" i="7" s="1"/>
  <c r="E198" i="7"/>
  <c r="F198" i="7" s="1"/>
  <c r="E199" i="7"/>
  <c r="F199" i="7" s="1"/>
  <c r="E200" i="7"/>
  <c r="F200" i="7" s="1"/>
  <c r="E201" i="7"/>
  <c r="F201" i="7" s="1"/>
  <c r="E202" i="7"/>
  <c r="F202" i="7" s="1"/>
  <c r="E203" i="7"/>
  <c r="F203" i="7" s="1"/>
  <c r="E204" i="7"/>
  <c r="F204" i="7" s="1"/>
  <c r="E205" i="7"/>
  <c r="F205" i="7" s="1"/>
  <c r="E206" i="7"/>
  <c r="F206" i="7" s="1"/>
  <c r="E207" i="7"/>
  <c r="F207" i="7" s="1"/>
  <c r="E208" i="7"/>
  <c r="F208" i="7" s="1"/>
  <c r="E209" i="7"/>
  <c r="F209" i="7" s="1"/>
  <c r="E210" i="7"/>
  <c r="F210" i="7" s="1"/>
  <c r="E211" i="7"/>
  <c r="F211" i="7" s="1"/>
  <c r="E212" i="7"/>
  <c r="F212" i="7" s="1"/>
  <c r="E213" i="7"/>
  <c r="F213" i="7" s="1"/>
  <c r="E214" i="7"/>
  <c r="F214" i="7" s="1"/>
  <c r="E215" i="7"/>
  <c r="F215" i="7" s="1"/>
  <c r="E216" i="7"/>
  <c r="F216" i="7" s="1"/>
  <c r="E217" i="7"/>
  <c r="F217" i="7" s="1"/>
  <c r="E218" i="7"/>
  <c r="F218" i="7" s="1"/>
  <c r="E219" i="7"/>
  <c r="F219" i="7" s="1"/>
  <c r="E220" i="7"/>
  <c r="F220" i="7" s="1"/>
  <c r="E221" i="7"/>
  <c r="F221" i="7" s="1"/>
  <c r="E222" i="7"/>
  <c r="F222" i="7" s="1"/>
  <c r="E223" i="7"/>
  <c r="F223" i="7" s="1"/>
  <c r="E224" i="7"/>
  <c r="F224" i="7" s="1"/>
  <c r="E225" i="7"/>
  <c r="F225" i="7" s="1"/>
  <c r="E226" i="7"/>
  <c r="F226" i="7" s="1"/>
  <c r="E227" i="7"/>
  <c r="F227" i="7" s="1"/>
  <c r="E228" i="7"/>
  <c r="F228" i="7" s="1"/>
  <c r="E2" i="7"/>
  <c r="F2" i="7" s="1"/>
  <c r="Q335" i="6"/>
  <c r="Q334" i="6"/>
  <c r="Q333" i="6"/>
  <c r="Q332" i="6"/>
  <c r="Q331" i="6"/>
  <c r="Q330" i="6"/>
  <c r="Q329" i="6"/>
  <c r="Q328" i="6"/>
  <c r="Q327" i="6"/>
  <c r="Q326" i="6"/>
  <c r="Q325" i="6"/>
  <c r="Q324" i="6"/>
  <c r="Q323" i="6"/>
  <c r="Q322" i="6"/>
  <c r="Q321" i="6"/>
  <c r="Q320" i="6"/>
  <c r="Q319" i="6"/>
  <c r="Q318" i="6"/>
  <c r="Q317" i="6"/>
  <c r="Q316" i="6"/>
  <c r="Q315" i="6"/>
  <c r="Q314" i="6"/>
  <c r="Q313" i="6"/>
  <c r="Q312" i="6"/>
  <c r="Q311" i="6"/>
  <c r="Q310" i="6"/>
  <c r="Q309" i="6"/>
  <c r="Q308" i="6"/>
  <c r="Q307" i="6"/>
  <c r="Q306" i="6"/>
  <c r="Q305" i="6"/>
  <c r="Q304" i="6"/>
  <c r="Q303" i="6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Q263" i="6"/>
  <c r="Q262" i="6"/>
  <c r="Q261" i="6"/>
  <c r="Q260" i="6"/>
  <c r="Q259" i="6"/>
  <c r="Q258" i="6"/>
  <c r="Q257" i="6"/>
  <c r="Q256" i="6"/>
  <c r="Q255" i="6"/>
  <c r="Q254" i="6"/>
  <c r="Q253" i="6"/>
  <c r="Q252" i="6"/>
  <c r="Q251" i="6"/>
  <c r="Q250" i="6"/>
  <c r="Q249" i="6"/>
  <c r="Q248" i="6"/>
  <c r="Q247" i="6"/>
  <c r="Q246" i="6"/>
  <c r="Q245" i="6"/>
  <c r="Q244" i="6"/>
  <c r="Q243" i="6"/>
  <c r="Q242" i="6"/>
  <c r="Q241" i="6"/>
  <c r="Q240" i="6"/>
  <c r="Q239" i="6"/>
  <c r="Q238" i="6"/>
  <c r="Q237" i="6"/>
  <c r="Q236" i="6"/>
  <c r="Q235" i="6"/>
  <c r="Q234" i="6"/>
  <c r="Q233" i="6"/>
  <c r="Q232" i="6"/>
  <c r="Q231" i="6"/>
  <c r="Q230" i="6"/>
  <c r="Q229" i="6"/>
  <c r="Q228" i="6"/>
  <c r="Q227" i="6"/>
  <c r="Q226" i="6"/>
  <c r="Q225" i="6"/>
  <c r="Q224" i="6"/>
  <c r="Q223" i="6"/>
  <c r="Q222" i="6"/>
  <c r="Q221" i="6"/>
  <c r="Q220" i="6"/>
  <c r="Q219" i="6"/>
  <c r="Q218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2" i="5"/>
  <c r="D317" i="2" l="1"/>
  <c r="C317" i="2"/>
  <c r="B317" i="2"/>
  <c r="D298" i="2"/>
  <c r="C298" i="2"/>
  <c r="B298" i="2"/>
  <c r="D300" i="2"/>
  <c r="C300" i="2"/>
  <c r="B300" i="2"/>
  <c r="D296" i="2"/>
  <c r="C296" i="2"/>
  <c r="B296" i="2"/>
  <c r="D245" i="2"/>
  <c r="C245" i="2"/>
  <c r="B245" i="2"/>
  <c r="D213" i="2"/>
  <c r="C213" i="2"/>
  <c r="B213" i="2"/>
  <c r="D208" i="2"/>
  <c r="C208" i="2"/>
  <c r="B208" i="2"/>
  <c r="D199" i="2"/>
  <c r="C199" i="2"/>
  <c r="B199" i="2"/>
  <c r="D196" i="2"/>
  <c r="C196" i="2"/>
  <c r="B196" i="2"/>
  <c r="D193" i="2"/>
  <c r="C193" i="2"/>
  <c r="B193" i="2"/>
  <c r="D100" i="2"/>
  <c r="C100" i="2"/>
  <c r="B100" i="2"/>
  <c r="D96" i="2"/>
  <c r="C96" i="2"/>
  <c r="B96" i="2"/>
  <c r="D94" i="2"/>
  <c r="C94" i="2"/>
  <c r="B94" i="2"/>
  <c r="D88" i="2"/>
  <c r="C88" i="2"/>
  <c r="B88" i="2"/>
  <c r="D72" i="2"/>
  <c r="C72" i="2"/>
  <c r="B72" i="2"/>
  <c r="D57" i="2"/>
  <c r="C57" i="2"/>
  <c r="B57" i="2"/>
  <c r="D34" i="2"/>
  <c r="C34" i="2"/>
  <c r="B34" i="2"/>
  <c r="D32" i="2"/>
  <c r="C32" i="2"/>
  <c r="B32" i="2"/>
  <c r="D30" i="2"/>
  <c r="C30" i="2"/>
  <c r="B30" i="2"/>
  <c r="D26" i="2"/>
  <c r="C26" i="2"/>
  <c r="B26" i="2"/>
  <c r="D24" i="2"/>
  <c r="C24" i="2"/>
  <c r="B24" i="2"/>
  <c r="D18" i="2"/>
  <c r="C18" i="2"/>
  <c r="B18" i="2"/>
  <c r="D15" i="2"/>
  <c r="C15" i="2"/>
  <c r="B15" i="2"/>
  <c r="D14" i="2"/>
  <c r="C14" i="2"/>
  <c r="B14" i="2"/>
  <c r="D314" i="2"/>
  <c r="C314" i="2"/>
  <c r="B314" i="2"/>
  <c r="D310" i="2"/>
  <c r="C310" i="2"/>
  <c r="B310" i="2"/>
  <c r="D308" i="2"/>
  <c r="C308" i="2"/>
  <c r="B308" i="2"/>
  <c r="D307" i="2"/>
  <c r="C307" i="2"/>
  <c r="B307" i="2"/>
  <c r="D306" i="2"/>
  <c r="C306" i="2"/>
  <c r="B306" i="2"/>
  <c r="D299" i="2"/>
  <c r="C299" i="2"/>
  <c r="B299" i="2"/>
  <c r="D295" i="2"/>
  <c r="C295" i="2"/>
  <c r="B295" i="2"/>
  <c r="D294" i="2"/>
  <c r="C294" i="2"/>
  <c r="B294" i="2"/>
  <c r="D293" i="2"/>
  <c r="C293" i="2"/>
  <c r="B293" i="2"/>
  <c r="D292" i="2"/>
  <c r="C292" i="2"/>
  <c r="B292" i="2"/>
  <c r="D291" i="2"/>
  <c r="C291" i="2"/>
  <c r="B291" i="2"/>
  <c r="D287" i="2"/>
  <c r="C287" i="2"/>
  <c r="B287" i="2"/>
  <c r="D285" i="2"/>
  <c r="C285" i="2"/>
  <c r="B285" i="2"/>
  <c r="D283" i="2"/>
  <c r="C283" i="2"/>
  <c r="B283" i="2"/>
  <c r="D265" i="2"/>
  <c r="C265" i="2"/>
  <c r="B265" i="2"/>
  <c r="D256" i="2"/>
  <c r="C256" i="2"/>
  <c r="B256" i="2"/>
  <c r="D250" i="2"/>
  <c r="C250" i="2"/>
  <c r="B250" i="2"/>
  <c r="D240" i="2"/>
  <c r="C240" i="2"/>
  <c r="B240" i="2"/>
  <c r="D238" i="2"/>
  <c r="C238" i="2"/>
  <c r="B238" i="2"/>
  <c r="D237" i="2"/>
  <c r="C237" i="2"/>
  <c r="B237" i="2"/>
  <c r="D223" i="2"/>
  <c r="C223" i="2"/>
  <c r="B223" i="2"/>
  <c r="D220" i="2"/>
  <c r="C220" i="2"/>
  <c r="B220" i="2"/>
  <c r="D217" i="2"/>
  <c r="C217" i="2"/>
  <c r="B217" i="2"/>
  <c r="D216" i="2"/>
  <c r="C216" i="2"/>
  <c r="B216" i="2"/>
  <c r="D215" i="2"/>
  <c r="C215" i="2"/>
  <c r="B215" i="2"/>
  <c r="D211" i="2"/>
  <c r="C211" i="2"/>
  <c r="B211" i="2"/>
  <c r="D204" i="2"/>
  <c r="C204" i="2"/>
  <c r="B204" i="2"/>
  <c r="D188" i="2"/>
  <c r="C188" i="2"/>
  <c r="B188" i="2"/>
  <c r="D178" i="2"/>
  <c r="C178" i="2"/>
  <c r="B178" i="2"/>
  <c r="D176" i="2"/>
  <c r="C176" i="2"/>
  <c r="B176" i="2"/>
  <c r="D174" i="2"/>
  <c r="C174" i="2"/>
  <c r="B174" i="2"/>
  <c r="D172" i="2"/>
  <c r="C172" i="2"/>
  <c r="B172" i="2"/>
  <c r="D170" i="2"/>
  <c r="C170" i="2"/>
  <c r="B170" i="2"/>
  <c r="D168" i="2"/>
  <c r="C168" i="2"/>
  <c r="B168" i="2"/>
  <c r="D166" i="2"/>
  <c r="C166" i="2"/>
  <c r="B166" i="2"/>
  <c r="D164" i="2"/>
  <c r="C164" i="2"/>
  <c r="B164" i="2"/>
  <c r="D162" i="2"/>
  <c r="C162" i="2"/>
  <c r="B162" i="2"/>
  <c r="D160" i="2"/>
  <c r="C160" i="2"/>
  <c r="B160" i="2"/>
  <c r="D120" i="2"/>
  <c r="C120" i="2"/>
  <c r="B120" i="2"/>
  <c r="D114" i="2"/>
  <c r="C114" i="2"/>
  <c r="B114" i="2"/>
  <c r="D112" i="2"/>
  <c r="C112" i="2"/>
  <c r="B112" i="2"/>
  <c r="D110" i="2"/>
  <c r="C110" i="2"/>
  <c r="B110" i="2"/>
  <c r="D108" i="2"/>
  <c r="C108" i="2"/>
  <c r="B108" i="2"/>
  <c r="D106" i="2"/>
  <c r="C106" i="2"/>
  <c r="B106" i="2"/>
  <c r="D104" i="2"/>
  <c r="C104" i="2"/>
  <c r="B104" i="2"/>
  <c r="D102" i="2"/>
  <c r="C102" i="2"/>
  <c r="B102" i="2"/>
  <c r="D92" i="2"/>
  <c r="C92" i="2"/>
  <c r="B92" i="2"/>
  <c r="D90" i="2"/>
  <c r="C90" i="2"/>
  <c r="B90" i="2"/>
  <c r="D87" i="2"/>
  <c r="C87" i="2"/>
  <c r="B87" i="2"/>
  <c r="D86" i="2"/>
  <c r="C86" i="2"/>
  <c r="B86" i="2"/>
  <c r="D81" i="2"/>
  <c r="C81" i="2"/>
  <c r="B81" i="2"/>
  <c r="D78" i="2"/>
  <c r="C78" i="2"/>
  <c r="B78" i="2"/>
  <c r="D70" i="2"/>
  <c r="C70" i="2"/>
  <c r="B70" i="2"/>
  <c r="D68" i="2"/>
  <c r="C68" i="2"/>
  <c r="B68" i="2"/>
  <c r="D44" i="2"/>
  <c r="C44" i="2"/>
  <c r="B44" i="2"/>
  <c r="D42" i="2"/>
  <c r="C42" i="2"/>
  <c r="B42" i="2"/>
  <c r="D40" i="2"/>
  <c r="C40" i="2"/>
  <c r="B40" i="2"/>
  <c r="D38" i="2"/>
  <c r="C38" i="2"/>
  <c r="B38" i="2"/>
  <c r="D36" i="2"/>
  <c r="C36" i="2"/>
  <c r="B36" i="2"/>
  <c r="D28" i="2"/>
  <c r="C28" i="2"/>
  <c r="B28" i="2"/>
  <c r="D22" i="2"/>
  <c r="C22" i="2"/>
  <c r="B22" i="2"/>
  <c r="D21" i="2"/>
  <c r="C21" i="2"/>
  <c r="B21" i="2"/>
  <c r="D20" i="2"/>
  <c r="C20" i="2"/>
  <c r="B20" i="2"/>
  <c r="D19" i="2"/>
  <c r="C19" i="2"/>
  <c r="B19" i="2"/>
  <c r="D16" i="2"/>
  <c r="C16" i="2"/>
  <c r="B16" i="2"/>
  <c r="D12" i="2"/>
  <c r="C12" i="2"/>
  <c r="B12" i="2"/>
  <c r="D10" i="2"/>
  <c r="C10" i="2"/>
  <c r="B10" i="2"/>
  <c r="D9" i="2"/>
  <c r="C9" i="2"/>
  <c r="B9" i="2"/>
  <c r="D8" i="2"/>
  <c r="C8" i="2"/>
  <c r="B8" i="2"/>
  <c r="D316" i="2"/>
  <c r="C316" i="2"/>
  <c r="B316" i="2"/>
  <c r="D138" i="2"/>
  <c r="C138" i="2"/>
  <c r="B138" i="2"/>
  <c r="D169" i="2"/>
  <c r="C169" i="2"/>
  <c r="B169" i="2"/>
  <c r="D234" i="2"/>
  <c r="C234" i="2"/>
  <c r="B234" i="2"/>
  <c r="D105" i="2"/>
  <c r="C105" i="2"/>
  <c r="B105" i="2"/>
  <c r="D326" i="2"/>
  <c r="C326" i="2"/>
  <c r="B326" i="2"/>
  <c r="D325" i="2"/>
  <c r="C325" i="2"/>
  <c r="B325" i="2"/>
  <c r="D324" i="2"/>
  <c r="C324" i="2"/>
  <c r="B324" i="2"/>
  <c r="D323" i="2"/>
  <c r="C323" i="2"/>
  <c r="B323" i="2"/>
  <c r="D322" i="2"/>
  <c r="C322" i="2"/>
  <c r="B322" i="2"/>
  <c r="D321" i="2"/>
  <c r="C321" i="2"/>
  <c r="B321" i="2"/>
  <c r="D320" i="2"/>
  <c r="C320" i="2"/>
  <c r="B320" i="2"/>
  <c r="D319" i="2"/>
  <c r="C319" i="2"/>
  <c r="B319" i="2"/>
  <c r="D318" i="2"/>
  <c r="C318" i="2"/>
  <c r="B318" i="2"/>
  <c r="D315" i="2"/>
  <c r="C315" i="2"/>
  <c r="B315" i="2"/>
  <c r="D313" i="2"/>
  <c r="C313" i="2"/>
  <c r="B313" i="2"/>
  <c r="D312" i="2"/>
  <c r="C312" i="2"/>
  <c r="B312" i="2"/>
  <c r="D311" i="2"/>
  <c r="C311" i="2"/>
  <c r="B311" i="2"/>
  <c r="D309" i="2"/>
  <c r="C309" i="2"/>
  <c r="B309" i="2"/>
  <c r="D305" i="2"/>
  <c r="C305" i="2"/>
  <c r="B305" i="2"/>
  <c r="D304" i="2"/>
  <c r="C304" i="2"/>
  <c r="B304" i="2"/>
  <c r="D303" i="2"/>
  <c r="C303" i="2"/>
  <c r="B303" i="2"/>
  <c r="D302" i="2"/>
  <c r="C302" i="2"/>
  <c r="B302" i="2"/>
  <c r="D301" i="2"/>
  <c r="C301" i="2"/>
  <c r="B301" i="2"/>
  <c r="D297" i="2"/>
  <c r="C297" i="2"/>
  <c r="B297" i="2"/>
  <c r="D290" i="2"/>
  <c r="C290" i="2"/>
  <c r="B290" i="2"/>
  <c r="D289" i="2"/>
  <c r="C289" i="2"/>
  <c r="B289" i="2"/>
  <c r="D288" i="2"/>
  <c r="C288" i="2"/>
  <c r="B288" i="2"/>
  <c r="D286" i="2"/>
  <c r="C286" i="2"/>
  <c r="B286" i="2"/>
  <c r="D284" i="2"/>
  <c r="C284" i="2"/>
  <c r="B284" i="2"/>
  <c r="D282" i="2"/>
  <c r="C282" i="2"/>
  <c r="B282" i="2"/>
  <c r="D264" i="2"/>
  <c r="C264" i="2"/>
  <c r="B264" i="2"/>
  <c r="D263" i="2"/>
  <c r="C263" i="2"/>
  <c r="B263" i="2"/>
  <c r="D262" i="2"/>
  <c r="C262" i="2"/>
  <c r="B262" i="2"/>
  <c r="D261" i="2"/>
  <c r="C261" i="2"/>
  <c r="B261" i="2"/>
  <c r="D260" i="2"/>
  <c r="C260" i="2"/>
  <c r="B260" i="2"/>
  <c r="D259" i="2"/>
  <c r="C259" i="2"/>
  <c r="B259" i="2"/>
  <c r="D258" i="2"/>
  <c r="C258" i="2"/>
  <c r="B258" i="2"/>
  <c r="D257" i="2"/>
  <c r="C257" i="2"/>
  <c r="B257" i="2"/>
  <c r="D255" i="2"/>
  <c r="C255" i="2"/>
  <c r="B255" i="2"/>
  <c r="D254" i="2"/>
  <c r="C254" i="2"/>
  <c r="B254" i="2"/>
  <c r="D253" i="2"/>
  <c r="C253" i="2"/>
  <c r="B253" i="2"/>
  <c r="D252" i="2"/>
  <c r="C252" i="2"/>
  <c r="B252" i="2"/>
  <c r="D251" i="2"/>
  <c r="C251" i="2"/>
  <c r="B251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244" i="2"/>
  <c r="C244" i="2"/>
  <c r="B244" i="2"/>
  <c r="D243" i="2"/>
  <c r="C243" i="2"/>
  <c r="B243" i="2"/>
  <c r="D242" i="2"/>
  <c r="C242" i="2"/>
  <c r="B242" i="2"/>
  <c r="D241" i="2"/>
  <c r="C241" i="2"/>
  <c r="B241" i="2"/>
  <c r="D239" i="2"/>
  <c r="C239" i="2"/>
  <c r="B239" i="2"/>
  <c r="D236" i="2"/>
  <c r="C236" i="2"/>
  <c r="B236" i="2"/>
  <c r="D235" i="2"/>
  <c r="C235" i="2"/>
  <c r="B235" i="2"/>
  <c r="D233" i="2"/>
  <c r="C233" i="2"/>
  <c r="B233" i="2"/>
  <c r="D232" i="2"/>
  <c r="C232" i="2"/>
  <c r="B232" i="2"/>
  <c r="D231" i="2"/>
  <c r="C231" i="2"/>
  <c r="B231" i="2"/>
  <c r="D230" i="2"/>
  <c r="C230" i="2"/>
  <c r="B230" i="2"/>
  <c r="D229" i="2"/>
  <c r="C229" i="2"/>
  <c r="B229" i="2"/>
  <c r="D228" i="2"/>
  <c r="C228" i="2"/>
  <c r="B228" i="2"/>
  <c r="D227" i="2"/>
  <c r="C227" i="2"/>
  <c r="B227" i="2"/>
  <c r="D226" i="2"/>
  <c r="C226" i="2"/>
  <c r="B226" i="2"/>
  <c r="D225" i="2"/>
  <c r="C225" i="2"/>
  <c r="B225" i="2"/>
  <c r="D224" i="2"/>
  <c r="C224" i="2"/>
  <c r="B224" i="2"/>
  <c r="D222" i="2"/>
  <c r="C222" i="2"/>
  <c r="B222" i="2"/>
  <c r="D221" i="2"/>
  <c r="C221" i="2"/>
  <c r="B221" i="2"/>
  <c r="D219" i="2"/>
  <c r="C219" i="2"/>
  <c r="B219" i="2"/>
  <c r="D218" i="2"/>
  <c r="C218" i="2"/>
  <c r="B218" i="2"/>
  <c r="D214" i="2"/>
  <c r="C214" i="2"/>
  <c r="B214" i="2"/>
  <c r="D212" i="2"/>
  <c r="C212" i="2"/>
  <c r="B212" i="2"/>
  <c r="D210" i="2"/>
  <c r="C210" i="2"/>
  <c r="B210" i="2"/>
  <c r="D207" i="2"/>
  <c r="C207" i="2"/>
  <c r="B207" i="2"/>
  <c r="D206" i="2"/>
  <c r="C206" i="2"/>
  <c r="B206" i="2"/>
  <c r="D203" i="2"/>
  <c r="C203" i="2"/>
  <c r="B203" i="2"/>
  <c r="D201" i="2"/>
  <c r="C201" i="2"/>
  <c r="B201" i="2"/>
  <c r="D187" i="2"/>
  <c r="C187" i="2"/>
  <c r="B187" i="2"/>
  <c r="D186" i="2"/>
  <c r="C186" i="2"/>
  <c r="B186" i="2"/>
  <c r="D185" i="2"/>
  <c r="C185" i="2"/>
  <c r="B185" i="2"/>
  <c r="D184" i="2"/>
  <c r="C184" i="2"/>
  <c r="B184" i="2"/>
  <c r="D183" i="2"/>
  <c r="C183" i="2"/>
  <c r="B183" i="2"/>
  <c r="D182" i="2"/>
  <c r="C182" i="2"/>
  <c r="B182" i="2"/>
  <c r="D181" i="2"/>
  <c r="C181" i="2"/>
  <c r="B181" i="2"/>
  <c r="D180" i="2"/>
  <c r="C180" i="2"/>
  <c r="B180" i="2"/>
  <c r="D179" i="2"/>
  <c r="C179" i="2"/>
  <c r="B179" i="2"/>
  <c r="D177" i="2"/>
  <c r="C177" i="2"/>
  <c r="B177" i="2"/>
  <c r="D175" i="2"/>
  <c r="C175" i="2"/>
  <c r="B175" i="2"/>
  <c r="D173" i="2"/>
  <c r="C173" i="2"/>
  <c r="B173" i="2"/>
  <c r="D171" i="2"/>
  <c r="C171" i="2"/>
  <c r="B171" i="2"/>
  <c r="D167" i="2"/>
  <c r="C167" i="2"/>
  <c r="B167" i="2"/>
  <c r="D165" i="2"/>
  <c r="C165" i="2"/>
  <c r="B165" i="2"/>
  <c r="D163" i="2"/>
  <c r="C163" i="2"/>
  <c r="B163" i="2"/>
  <c r="D161" i="2"/>
  <c r="C161" i="2"/>
  <c r="B161" i="2"/>
  <c r="D159" i="2"/>
  <c r="C159" i="2"/>
  <c r="B159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3" i="2"/>
  <c r="C113" i="2"/>
  <c r="B113" i="2"/>
  <c r="D111" i="2"/>
  <c r="C111" i="2"/>
  <c r="B111" i="2"/>
  <c r="D109" i="2"/>
  <c r="C109" i="2"/>
  <c r="B109" i="2"/>
  <c r="D107" i="2"/>
  <c r="C107" i="2"/>
  <c r="B107" i="2"/>
  <c r="D103" i="2"/>
  <c r="C103" i="2"/>
  <c r="B103" i="2"/>
  <c r="D101" i="2"/>
  <c r="C101" i="2"/>
  <c r="B101" i="2"/>
  <c r="D99" i="2"/>
  <c r="C99" i="2"/>
  <c r="B99" i="2"/>
  <c r="D95" i="2"/>
  <c r="C95" i="2"/>
  <c r="B95" i="2"/>
  <c r="D93" i="2"/>
  <c r="C93" i="2"/>
  <c r="B93" i="2"/>
  <c r="D91" i="2"/>
  <c r="C91" i="2"/>
  <c r="B91" i="2"/>
  <c r="D89" i="2"/>
  <c r="C89" i="2"/>
  <c r="B89" i="2"/>
  <c r="D85" i="2"/>
  <c r="C85" i="2"/>
  <c r="B85" i="2"/>
  <c r="D84" i="2"/>
  <c r="C84" i="2"/>
  <c r="B84" i="2"/>
  <c r="D83" i="2"/>
  <c r="C83" i="2"/>
  <c r="B83" i="2"/>
  <c r="D82" i="2"/>
  <c r="C82" i="2"/>
  <c r="B82" i="2"/>
  <c r="D80" i="2"/>
  <c r="C80" i="2"/>
  <c r="B80" i="2"/>
  <c r="D79" i="2"/>
  <c r="C79" i="2"/>
  <c r="B79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1" i="2"/>
  <c r="C71" i="2"/>
  <c r="B71" i="2"/>
  <c r="D69" i="2"/>
  <c r="C69" i="2"/>
  <c r="B69" i="2"/>
  <c r="D56" i="2"/>
  <c r="C56" i="2"/>
  <c r="B56" i="2"/>
  <c r="D43" i="2"/>
  <c r="C43" i="2"/>
  <c r="B43" i="2"/>
  <c r="D41" i="2"/>
  <c r="C41" i="2"/>
  <c r="B41" i="2"/>
  <c r="D39" i="2"/>
  <c r="C39" i="2"/>
  <c r="B39" i="2"/>
  <c r="D37" i="2"/>
  <c r="C37" i="2"/>
  <c r="B37" i="2"/>
  <c r="D35" i="2"/>
  <c r="C35" i="2"/>
  <c r="B35" i="2"/>
  <c r="D33" i="2"/>
  <c r="C33" i="2"/>
  <c r="B33" i="2"/>
  <c r="D31" i="2"/>
  <c r="C31" i="2"/>
  <c r="B31" i="2"/>
  <c r="D29" i="2"/>
  <c r="C29" i="2"/>
  <c r="B29" i="2"/>
  <c r="D27" i="2"/>
  <c r="C27" i="2"/>
  <c r="B27" i="2"/>
  <c r="D25" i="2"/>
  <c r="C25" i="2"/>
  <c r="B25" i="2"/>
  <c r="D23" i="2"/>
  <c r="C23" i="2"/>
  <c r="B23" i="2"/>
  <c r="D17" i="2"/>
  <c r="C17" i="2"/>
  <c r="B17" i="2"/>
  <c r="D13" i="2"/>
  <c r="C13" i="2"/>
  <c r="B13" i="2"/>
  <c r="D11" i="2"/>
  <c r="C11" i="2"/>
  <c r="B11" i="2"/>
  <c r="D338" i="2"/>
  <c r="C338" i="2"/>
  <c r="B338" i="2"/>
  <c r="D337" i="2"/>
  <c r="C337" i="2"/>
  <c r="B337" i="2"/>
  <c r="D336" i="2"/>
  <c r="C336" i="2"/>
  <c r="B336" i="2"/>
  <c r="D335" i="2"/>
  <c r="C335" i="2"/>
  <c r="B335" i="2"/>
  <c r="D334" i="2"/>
  <c r="C334" i="2"/>
  <c r="B334" i="2"/>
  <c r="D333" i="2"/>
  <c r="C333" i="2"/>
  <c r="B333" i="2"/>
  <c r="D332" i="2"/>
  <c r="C332" i="2"/>
  <c r="B332" i="2"/>
  <c r="D331" i="2"/>
  <c r="C331" i="2"/>
  <c r="B331" i="2"/>
  <c r="D330" i="2"/>
  <c r="C330" i="2"/>
  <c r="B330" i="2"/>
  <c r="D329" i="2"/>
  <c r="C329" i="2"/>
  <c r="B329" i="2"/>
  <c r="D328" i="2"/>
  <c r="C328" i="2"/>
  <c r="B328" i="2"/>
  <c r="D327" i="2"/>
  <c r="C327" i="2"/>
  <c r="B327" i="2"/>
  <c r="D281" i="2"/>
  <c r="C281" i="2"/>
  <c r="B281" i="2"/>
  <c r="D280" i="2"/>
  <c r="C280" i="2"/>
  <c r="B280" i="2"/>
  <c r="D279" i="2"/>
  <c r="C279" i="2"/>
  <c r="B279" i="2"/>
  <c r="D278" i="2"/>
  <c r="C278" i="2"/>
  <c r="B278" i="2"/>
  <c r="D277" i="2"/>
  <c r="C277" i="2"/>
  <c r="B277" i="2"/>
  <c r="D276" i="2"/>
  <c r="C276" i="2"/>
  <c r="B276" i="2"/>
  <c r="D275" i="2"/>
  <c r="C275" i="2"/>
  <c r="B275" i="2"/>
  <c r="D274" i="2"/>
  <c r="C274" i="2"/>
  <c r="B274" i="2"/>
  <c r="D273" i="2"/>
  <c r="C273" i="2"/>
  <c r="B273" i="2"/>
  <c r="D272" i="2"/>
  <c r="C272" i="2"/>
  <c r="B272" i="2"/>
  <c r="D271" i="2"/>
  <c r="C271" i="2"/>
  <c r="B271" i="2"/>
  <c r="D270" i="2"/>
  <c r="C270" i="2"/>
  <c r="B270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09" i="2"/>
  <c r="C209" i="2"/>
  <c r="B209" i="2"/>
  <c r="D205" i="2"/>
  <c r="C205" i="2"/>
  <c r="B205" i="2"/>
  <c r="D202" i="2"/>
  <c r="C202" i="2"/>
  <c r="B202" i="2"/>
  <c r="D200" i="2"/>
  <c r="C200" i="2"/>
  <c r="B200" i="2"/>
  <c r="D198" i="2"/>
  <c r="C198" i="2"/>
  <c r="B198" i="2"/>
  <c r="D197" i="2"/>
  <c r="C197" i="2"/>
  <c r="B197" i="2"/>
  <c r="D195" i="2"/>
  <c r="C195" i="2"/>
  <c r="B195" i="2"/>
  <c r="D194" i="2"/>
  <c r="C194" i="2"/>
  <c r="B194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D158" i="2"/>
  <c r="C158" i="2"/>
  <c r="B158" i="2"/>
  <c r="D157" i="2"/>
  <c r="C157" i="2"/>
  <c r="B157" i="2"/>
  <c r="D156" i="2"/>
  <c r="C156" i="2"/>
  <c r="B156" i="2"/>
  <c r="D155" i="2"/>
  <c r="C155" i="2"/>
  <c r="B155" i="2"/>
  <c r="D154" i="2"/>
  <c r="C154" i="2"/>
  <c r="B154" i="2"/>
  <c r="D153" i="2"/>
  <c r="C153" i="2"/>
  <c r="B153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98" i="2"/>
  <c r="C98" i="2"/>
  <c r="B98" i="2"/>
  <c r="D97" i="2"/>
  <c r="C97" i="2"/>
  <c r="B97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5" i="2"/>
  <c r="C45" i="2"/>
  <c r="B45" i="2"/>
  <c r="D46" i="2"/>
  <c r="C46" i="2"/>
  <c r="B46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2" i="1"/>
</calcChain>
</file>

<file path=xl/sharedStrings.xml><?xml version="1.0" encoding="utf-8"?>
<sst xmlns="http://schemas.openxmlformats.org/spreadsheetml/2006/main" count="8961" uniqueCount="1112">
  <si>
    <t>site</t>
  </si>
  <si>
    <t>scuba_click_count</t>
  </si>
  <si>
    <t>frame_click_count</t>
  </si>
  <si>
    <t>Ekman</t>
  </si>
  <si>
    <t>01-03M-WA</t>
  </si>
  <si>
    <t>01-03M-WB</t>
  </si>
  <si>
    <t>01-05M-EA</t>
  </si>
  <si>
    <t>01-05M-WA</t>
  </si>
  <si>
    <t>01-05M-WB</t>
  </si>
  <si>
    <t>01-06M-EA</t>
  </si>
  <si>
    <t>03-02M-EA</t>
  </si>
  <si>
    <t>03-01M-WA</t>
  </si>
  <si>
    <t>03-02M-WA</t>
  </si>
  <si>
    <t>03-02M-WB</t>
  </si>
  <si>
    <t>03-03M-EA</t>
  </si>
  <si>
    <t>03-03M-WA</t>
  </si>
  <si>
    <t>03-03M-WB</t>
  </si>
  <si>
    <t>03-04M-WA</t>
  </si>
  <si>
    <t>03-05M-EA</t>
  </si>
  <si>
    <t>03-05M-WA</t>
  </si>
  <si>
    <t>03-05M-WB</t>
  </si>
  <si>
    <t>03-08M-EA</t>
  </si>
  <si>
    <t>03-08M-EB</t>
  </si>
  <si>
    <t>03-08M-WA</t>
  </si>
  <si>
    <t>03-11M-EA</t>
  </si>
  <si>
    <t>03-11M-WA</t>
  </si>
  <si>
    <t>03-11M-WB</t>
  </si>
  <si>
    <t>03-14M-EA</t>
  </si>
  <si>
    <t>03-14M-WA</t>
  </si>
  <si>
    <t>03-14M-WB</t>
  </si>
  <si>
    <t>03-17M-EA</t>
  </si>
  <si>
    <t>04-05M-WA</t>
  </si>
  <si>
    <t>04-05M-WB</t>
  </si>
  <si>
    <t>05-01M-WA</t>
  </si>
  <si>
    <t>05-02M-EA</t>
  </si>
  <si>
    <t>05-03M-EA</t>
  </si>
  <si>
    <t>05-03M-WA</t>
  </si>
  <si>
    <t>05-05M-EA</t>
  </si>
  <si>
    <t>05-05M-WA</t>
  </si>
  <si>
    <t>05-08M-EA</t>
  </si>
  <si>
    <t>05-08M-WA</t>
  </si>
  <si>
    <t>05-11M-EA</t>
  </si>
  <si>
    <t>05-11M-WA</t>
  </si>
  <si>
    <t>05-14M-EA</t>
  </si>
  <si>
    <t>05-14M-WA</t>
  </si>
  <si>
    <t>05-17M-EA</t>
  </si>
  <si>
    <t>05-17M-WA</t>
  </si>
  <si>
    <t>06-02M-EA</t>
  </si>
  <si>
    <t>06-02M-WA</t>
  </si>
  <si>
    <t>06-03M-EA</t>
  </si>
  <si>
    <t>06-03M-WA</t>
  </si>
  <si>
    <t>06-05M-EA</t>
  </si>
  <si>
    <t>06-05M-WA</t>
  </si>
  <si>
    <t>06-08M-EA</t>
  </si>
  <si>
    <t>06-08M-WA</t>
  </si>
  <si>
    <t>06-11M-EA</t>
  </si>
  <si>
    <t>06-11M-WA</t>
  </si>
  <si>
    <t>06-14M-EA</t>
  </si>
  <si>
    <t>06-17M-EA</t>
  </si>
  <si>
    <t>08-01M-WA</t>
  </si>
  <si>
    <t>08-01M-WB</t>
  </si>
  <si>
    <t>08-02M-WA</t>
  </si>
  <si>
    <t>08-03M-WA</t>
  </si>
  <si>
    <t>08-05M-EA</t>
  </si>
  <si>
    <t>08-05M-EB</t>
  </si>
  <si>
    <t>08-05M-WA</t>
  </si>
  <si>
    <t>08-05M-WB</t>
  </si>
  <si>
    <t>1B-01M-EA</t>
  </si>
  <si>
    <t>1B-01M-EB</t>
  </si>
  <si>
    <t>1B-02M-EA</t>
  </si>
  <si>
    <t>1B-02M-EB</t>
  </si>
  <si>
    <t>1B-03M-EA</t>
  </si>
  <si>
    <t>1B-03M-EB</t>
  </si>
  <si>
    <t>1B-03M-EC</t>
  </si>
  <si>
    <t>1B-05M-EA</t>
  </si>
  <si>
    <t>Z1-03M-EA</t>
  </si>
  <si>
    <t>Z1-04M-EA</t>
  </si>
  <si>
    <t>Z1-05M-EA</t>
  </si>
  <si>
    <t>Z1-07M-EA</t>
  </si>
  <si>
    <t>Z1-08M-EA</t>
  </si>
  <si>
    <t>Z1-10M-EA</t>
  </si>
  <si>
    <t>Z2-08M-EA</t>
  </si>
  <si>
    <t>Z2-09M-EA</t>
  </si>
  <si>
    <t>Z2-10M-EA</t>
  </si>
  <si>
    <t>Z2-10M-EB</t>
  </si>
  <si>
    <t>Z2-11M-EA</t>
  </si>
  <si>
    <t>Z2-12M-EA</t>
  </si>
  <si>
    <t>02-02M-EA</t>
  </si>
  <si>
    <t>02-02M-WA</t>
  </si>
  <si>
    <t>02-03M-WA</t>
  </si>
  <si>
    <t>02-05M-WA</t>
  </si>
  <si>
    <t>02-08M-EA</t>
  </si>
  <si>
    <t>02-08M-WA</t>
  </si>
  <si>
    <t>02-10M-WA</t>
  </si>
  <si>
    <t>02-11M-EA</t>
  </si>
  <si>
    <t>02-14M-EA</t>
  </si>
  <si>
    <t>02-14M-WA</t>
  </si>
  <si>
    <t>02-17M-EA</t>
  </si>
  <si>
    <t>02-17M-WA</t>
  </si>
  <si>
    <t>02-21M-EA</t>
  </si>
  <si>
    <t>02-24M-WA</t>
  </si>
  <si>
    <t>03-07M-WA</t>
  </si>
  <si>
    <t>03-18M-WA</t>
  </si>
  <si>
    <t>03-24M-EA</t>
  </si>
  <si>
    <t>03-24M-WA</t>
  </si>
  <si>
    <t>03-29M-WA</t>
  </si>
  <si>
    <t>03-31M-EA</t>
  </si>
  <si>
    <t>03-38M-EA</t>
  </si>
  <si>
    <t>03-39M-WA</t>
  </si>
  <si>
    <t>03-45M-EA</t>
  </si>
  <si>
    <t>03-45M-WA</t>
  </si>
  <si>
    <t>03-52M-EA</t>
  </si>
  <si>
    <t>03-53M-EA</t>
  </si>
  <si>
    <t>03-53M-WA</t>
  </si>
  <si>
    <t>03-60M-EA</t>
  </si>
  <si>
    <t>04-02M-WA</t>
  </si>
  <si>
    <t>04-03M-EA</t>
  </si>
  <si>
    <t>04-03M-WA</t>
  </si>
  <si>
    <t>04-05M-EA</t>
  </si>
  <si>
    <t>04-08M-EA</t>
  </si>
  <si>
    <t>04-08M-WA</t>
  </si>
  <si>
    <t>04-10M-EA</t>
  </si>
  <si>
    <t>04-13M-EA</t>
  </si>
  <si>
    <t>04-14M-WA</t>
  </si>
  <si>
    <t>04-17M-EA</t>
  </si>
  <si>
    <t>04-17M-WA</t>
  </si>
  <si>
    <t>04-20M-WA</t>
  </si>
  <si>
    <t>04-21M-EA</t>
  </si>
  <si>
    <t>04-22M-EA</t>
  </si>
  <si>
    <t>04-22M-EB</t>
  </si>
  <si>
    <t>04-22M-WA</t>
  </si>
  <si>
    <t>04-24M-WA</t>
  </si>
  <si>
    <t>04-31M-EA</t>
  </si>
  <si>
    <t>04-31M-WA</t>
  </si>
  <si>
    <t>04-38M-EA</t>
  </si>
  <si>
    <t>04-38M-WA</t>
  </si>
  <si>
    <t>04-38M-WB</t>
  </si>
  <si>
    <t>04-43M-WA</t>
  </si>
  <si>
    <t>04-46M-EA</t>
  </si>
  <si>
    <t>04-52M-EA</t>
  </si>
  <si>
    <t>04-52M-WA</t>
  </si>
  <si>
    <t>04-53M-WA</t>
  </si>
  <si>
    <t>04-58M-EA</t>
  </si>
  <si>
    <t>04-58M-EB</t>
  </si>
  <si>
    <t>04-60M-WA</t>
  </si>
  <si>
    <t>04-62M-EA</t>
  </si>
  <si>
    <t>04-65M-WA</t>
  </si>
  <si>
    <t>04-69M-EA</t>
  </si>
  <si>
    <t>04-71M-EA</t>
  </si>
  <si>
    <t>04-75M-EA</t>
  </si>
  <si>
    <t>04-77M-EA</t>
  </si>
  <si>
    <t>04-77M-EB</t>
  </si>
  <si>
    <t>04-79M-WA</t>
  </si>
  <si>
    <t>04-80M-DA</t>
  </si>
  <si>
    <t>05-24M-EA</t>
  </si>
  <si>
    <t>05-24M-WA</t>
  </si>
  <si>
    <t>05-31M-EA</t>
  </si>
  <si>
    <t>05-31M-WA</t>
  </si>
  <si>
    <t>05-40M-EA</t>
  </si>
  <si>
    <t>05-45M-EA</t>
  </si>
  <si>
    <t>05-45M-WA</t>
  </si>
  <si>
    <t>05-52M-EA</t>
  </si>
  <si>
    <t>05-54M-WA</t>
  </si>
  <si>
    <t>05-55M-EA</t>
  </si>
  <si>
    <t>05-61M-EA</t>
  </si>
  <si>
    <t>05-61M-EB</t>
  </si>
  <si>
    <t>05-61M-WA</t>
  </si>
  <si>
    <t>05-70M-EA</t>
  </si>
  <si>
    <t>05-76M-WA</t>
  </si>
  <si>
    <t>05-82M-WA</t>
  </si>
  <si>
    <t>05-84M-DA</t>
  </si>
  <si>
    <t>06-01M-WA</t>
  </si>
  <si>
    <t>06-11M-EB</t>
  </si>
  <si>
    <t>06-12M-WA</t>
  </si>
  <si>
    <t>06-14M-EB</t>
  </si>
  <si>
    <t>06-14M-WA</t>
  </si>
  <si>
    <t>06-17M-WA</t>
  </si>
  <si>
    <t>06-24M-EA</t>
  </si>
  <si>
    <t>06-24M-WA</t>
  </si>
  <si>
    <t>06-31M-EA</t>
  </si>
  <si>
    <t>06-35M-WA</t>
  </si>
  <si>
    <t>06-38M-EA</t>
  </si>
  <si>
    <t>06-43M-WA</t>
  </si>
  <si>
    <t>06-45M-EA</t>
  </si>
  <si>
    <t>06-50M-WA</t>
  </si>
  <si>
    <t>06-52M-EA</t>
  </si>
  <si>
    <t>06-65M-EA</t>
  </si>
  <si>
    <t>06-65M-WA</t>
  </si>
  <si>
    <t>06-65M-WB</t>
  </si>
  <si>
    <t>06-72M-WA</t>
  </si>
  <si>
    <t>06-74M-WA</t>
  </si>
  <si>
    <t>06-75M-EA</t>
  </si>
  <si>
    <t>06-80M-EA</t>
  </si>
  <si>
    <t>06-82M-DA</t>
  </si>
  <si>
    <t>07-02M-EA</t>
  </si>
  <si>
    <t>07-02M-WA</t>
  </si>
  <si>
    <t>07-03M-EA</t>
  </si>
  <si>
    <t>07-03M-WA</t>
  </si>
  <si>
    <t>07-03M-WB</t>
  </si>
  <si>
    <t>07-05M-EA</t>
  </si>
  <si>
    <t>07-05M-WA</t>
  </si>
  <si>
    <t>07-08M-EA</t>
  </si>
  <si>
    <t>07-08M-WA</t>
  </si>
  <si>
    <t>07-11M-EA</t>
  </si>
  <si>
    <t>07-14M-EA</t>
  </si>
  <si>
    <t>07-14M-WA</t>
  </si>
  <si>
    <t>07-17M-EA</t>
  </si>
  <si>
    <t>07-17M-WA</t>
  </si>
  <si>
    <t>07-24M-EA</t>
  </si>
  <si>
    <t>07-24M-WA</t>
  </si>
  <si>
    <t>07-31M-EA</t>
  </si>
  <si>
    <t>07-31M-WA</t>
  </si>
  <si>
    <t>07-38M-EA</t>
  </si>
  <si>
    <t>07-38M-WA</t>
  </si>
  <si>
    <t>07-45M-EA</t>
  </si>
  <si>
    <t>07-45M-WA</t>
  </si>
  <si>
    <t>07-52M-WA</t>
  </si>
  <si>
    <t>X1-21M-WA</t>
  </si>
  <si>
    <t>X1-24M-WA</t>
  </si>
  <si>
    <t>X1-28M-WA</t>
  </si>
  <si>
    <t>X1-29M-WA</t>
  </si>
  <si>
    <t>X1-32M-WA</t>
  </si>
  <si>
    <t>X1-35M-WA</t>
  </si>
  <si>
    <t>X4-01M-EA</t>
  </si>
  <si>
    <t>X4-06M-EA</t>
  </si>
  <si>
    <t>X4-54M-EA</t>
  </si>
  <si>
    <t>X4-54M-EB</t>
  </si>
  <si>
    <t>X4-54M-EC</t>
  </si>
  <si>
    <t>X6-01M-EA</t>
  </si>
  <si>
    <t>X6-04M-EA</t>
  </si>
  <si>
    <t>X6-08M-EA</t>
  </si>
  <si>
    <t>X6-21M-EA</t>
  </si>
  <si>
    <t>X6-27M-EA</t>
  </si>
  <si>
    <t>X6-30M-WA</t>
  </si>
  <si>
    <t>X7-21M-EA</t>
  </si>
  <si>
    <t>X7-26M-EA</t>
  </si>
  <si>
    <t>X7-29M-EA</t>
  </si>
  <si>
    <t>X7-29M-EB</t>
  </si>
  <si>
    <t>X7-58M-WA</t>
  </si>
  <si>
    <t>X7-70M-WA</t>
  </si>
  <si>
    <t>X7-70M-WB</t>
  </si>
  <si>
    <t>X7-75M-DA</t>
  </si>
  <si>
    <t>X7-75M-WA</t>
  </si>
  <si>
    <t>04-11M-WA</t>
  </si>
  <si>
    <t>06-80M-WA</t>
  </si>
  <si>
    <t>05-40M-WA</t>
  </si>
  <si>
    <t>04-70M-WA</t>
  </si>
  <si>
    <t>X7-01M-EA</t>
  </si>
  <si>
    <t>02-01M-WA</t>
  </si>
  <si>
    <t>02-01M-WB</t>
  </si>
  <si>
    <t>02-01M-WC</t>
  </si>
  <si>
    <t>02-02M-EB</t>
  </si>
  <si>
    <t>02-03M-EB</t>
  </si>
  <si>
    <t>02-05M-EA</t>
  </si>
  <si>
    <t>02-05M-EB</t>
  </si>
  <si>
    <t>02-05M-EC</t>
  </si>
  <si>
    <t>02-05M-ED</t>
  </si>
  <si>
    <t>02-08M-WB</t>
  </si>
  <si>
    <t>02-14M-WB</t>
  </si>
  <si>
    <t>02-17M-EB</t>
  </si>
  <si>
    <t>02-17M-WB</t>
  </si>
  <si>
    <t>02-21M-EB</t>
  </si>
  <si>
    <t>02-24M-WB</t>
  </si>
  <si>
    <t>03-17M-WA</t>
  </si>
  <si>
    <t>03-18M-WB</t>
  </si>
  <si>
    <t>03-43M-EA</t>
  </si>
  <si>
    <t>03-45M-WB</t>
  </si>
  <si>
    <t>04-01M-WA</t>
  </si>
  <si>
    <t>04-01M-WB</t>
  </si>
  <si>
    <t>04-02M-WB</t>
  </si>
  <si>
    <t>04-03M-EB</t>
  </si>
  <si>
    <t>04-08M-WB</t>
  </si>
  <si>
    <t>04-10M-EB</t>
  </si>
  <si>
    <t>04-11M-WB</t>
  </si>
  <si>
    <t>04-13M-EB</t>
  </si>
  <si>
    <t>04-14M-WB</t>
  </si>
  <si>
    <t>04-17M-EB</t>
  </si>
  <si>
    <t>04-17M-WB</t>
  </si>
  <si>
    <t>04-22M-WB</t>
  </si>
  <si>
    <t>05-24M-EB</t>
  </si>
  <si>
    <t>05-24M-WB</t>
  </si>
  <si>
    <t>05-31M-EB</t>
  </si>
  <si>
    <t>05-31M-WB</t>
  </si>
  <si>
    <t>05-40M-EB</t>
  </si>
  <si>
    <t>05-40M-WB</t>
  </si>
  <si>
    <t>05-45M-EB</t>
  </si>
  <si>
    <t>05-45M-WB</t>
  </si>
  <si>
    <t>05-52M-EB</t>
  </si>
  <si>
    <t>05-54M-WB</t>
  </si>
  <si>
    <t>06-01M-WB</t>
  </si>
  <si>
    <t>06-12M-WB</t>
  </si>
  <si>
    <t>06-17M-WB</t>
  </si>
  <si>
    <t>06-24M-WB</t>
  </si>
  <si>
    <t>06-30M-WA</t>
  </si>
  <si>
    <t>06-30M-WB</t>
  </si>
  <si>
    <t>06-35M-WB</t>
  </si>
  <si>
    <t>06-43M-WB</t>
  </si>
  <si>
    <t>07-02M-EB</t>
  </si>
  <si>
    <t>07-02M-EC</t>
  </si>
  <si>
    <t>07-02M-WB</t>
  </si>
  <si>
    <t>07-11M-WA</t>
  </si>
  <si>
    <t>07-24M-EB</t>
  </si>
  <si>
    <t>07-52M-WB</t>
  </si>
  <si>
    <t>X1-21M-WB</t>
  </si>
  <si>
    <t>X1-24M-WB</t>
  </si>
  <si>
    <t>X1-28M-WB</t>
  </si>
  <si>
    <t>X3-03M-WA</t>
  </si>
  <si>
    <t>X3-03M-WB</t>
  </si>
  <si>
    <t>X3-05M-WA</t>
  </si>
  <si>
    <t>X3-05M-WB</t>
  </si>
  <si>
    <t>X3-08M-WA</t>
  </si>
  <si>
    <t>X4-02M-EA</t>
  </si>
  <si>
    <t>X6-01M-EB</t>
  </si>
  <si>
    <t>X6-01M-EC</t>
  </si>
  <si>
    <t>X6-01M-ED</t>
  </si>
  <si>
    <t>X6-04M-EB</t>
  </si>
  <si>
    <t>X6-27M-EB</t>
  </si>
  <si>
    <t>02-02M-WB</t>
  </si>
  <si>
    <t>02-03M-EA</t>
  </si>
  <si>
    <t>02-03M-WB</t>
  </si>
  <si>
    <t>02-05M-WB</t>
  </si>
  <si>
    <t>02-08M-EB</t>
  </si>
  <si>
    <t>02-10M-WB</t>
  </si>
  <si>
    <t>02-11M-EB</t>
  </si>
  <si>
    <t>02-14M-EB</t>
  </si>
  <si>
    <t>03-07M-WB</t>
  </si>
  <si>
    <t>03-24M-EB</t>
  </si>
  <si>
    <t>04-01M-WC</t>
  </si>
  <si>
    <t>04-03M-WB</t>
  </si>
  <si>
    <t>04-05M-EB</t>
  </si>
  <si>
    <t>04-08M-EB</t>
  </si>
  <si>
    <t>06-03M-WB</t>
  </si>
  <si>
    <t>06-05M-WB</t>
  </si>
  <si>
    <t>06-08M-WB</t>
  </si>
  <si>
    <t>06-14M-WB</t>
  </si>
  <si>
    <t>06-24M-EB</t>
  </si>
  <si>
    <t>07-05M-EB</t>
  </si>
  <si>
    <t>X3-08M-WB</t>
  </si>
  <si>
    <t>X4-02M-EB</t>
  </si>
  <si>
    <t>X4-01M-EB</t>
  </si>
  <si>
    <t>X7-01M-EB</t>
  </si>
  <si>
    <t>depth_m</t>
  </si>
  <si>
    <t>Duplicate</t>
  </si>
  <si>
    <t>Transect</t>
  </si>
  <si>
    <t>Image_Quality</t>
  </si>
  <si>
    <t>scuba_sample_count</t>
  </si>
  <si>
    <t>scuba_image_quality</t>
  </si>
  <si>
    <t>frame_image_quality</t>
  </si>
  <si>
    <t>scuba_substrate_type</t>
  </si>
  <si>
    <t>scuba_macrophyte_cover</t>
  </si>
  <si>
    <t>frame_substrate_type</t>
  </si>
  <si>
    <t>frame_macrophyte_cover</t>
  </si>
  <si>
    <t>soft</t>
  </si>
  <si>
    <t>51-75</t>
  </si>
  <si>
    <t>26-50</t>
  </si>
  <si>
    <t>0-25</t>
  </si>
  <si>
    <t>76-100</t>
  </si>
  <si>
    <t>hard</t>
  </si>
  <si>
    <t>01</t>
  </si>
  <si>
    <t>A</t>
  </si>
  <si>
    <t>B</t>
  </si>
  <si>
    <t>03</t>
  </si>
  <si>
    <t>05</t>
  </si>
  <si>
    <t>06</t>
  </si>
  <si>
    <t>08</t>
  </si>
  <si>
    <t>1B</t>
  </si>
  <si>
    <t>C</t>
  </si>
  <si>
    <t>Z1</t>
  </si>
  <si>
    <t>Z2</t>
  </si>
  <si>
    <t>02</t>
  </si>
  <si>
    <t>D</t>
  </si>
  <si>
    <t>04</t>
  </si>
  <si>
    <t>07</t>
  </si>
  <si>
    <t>X1</t>
  </si>
  <si>
    <t>X3</t>
  </si>
  <si>
    <t>X4</t>
  </si>
  <si>
    <t>X6</t>
  </si>
  <si>
    <t>X7</t>
  </si>
  <si>
    <t>76-101</t>
  </si>
  <si>
    <t>0-26</t>
  </si>
  <si>
    <t>21-50</t>
  </si>
  <si>
    <t>21-51</t>
  </si>
  <si>
    <t>latitude</t>
  </si>
  <si>
    <t>longitude</t>
  </si>
  <si>
    <t>Image_YN</t>
  </si>
  <si>
    <t>Y</t>
  </si>
  <si>
    <t>P-02-01M-WA</t>
  </si>
  <si>
    <t>Rocky</t>
  </si>
  <si>
    <t>P-02-01M-WB</t>
  </si>
  <si>
    <t>P-02-01M-WC</t>
  </si>
  <si>
    <t>P-02-02M-EA</t>
  </si>
  <si>
    <t>Macrophytes</t>
  </si>
  <si>
    <t>P-02-02M-EB</t>
  </si>
  <si>
    <t>P-02-03M-EB</t>
  </si>
  <si>
    <t>P-02-05M-EA</t>
  </si>
  <si>
    <t>P-02-05M-EB</t>
  </si>
  <si>
    <t>Soft Dark</t>
  </si>
  <si>
    <t>P-02-05M-EC</t>
  </si>
  <si>
    <t>P-02-08M-WA</t>
  </si>
  <si>
    <t>P-02-08M-WB</t>
  </si>
  <si>
    <t>P-02-11M-EA</t>
  </si>
  <si>
    <t>P-02-14M-WA</t>
  </si>
  <si>
    <t>P-02-14M-WB</t>
  </si>
  <si>
    <t>P-02-17M-EA</t>
  </si>
  <si>
    <t>P-02-17M-EB</t>
  </si>
  <si>
    <t>P-02-17M-WA</t>
  </si>
  <si>
    <t>P-02-17M-WB</t>
  </si>
  <si>
    <t>P-02-21M-EA</t>
  </si>
  <si>
    <t>P-02-21M-EB</t>
  </si>
  <si>
    <t>P-02-24M-WA</t>
  </si>
  <si>
    <t>P-02-24M-WB</t>
  </si>
  <si>
    <t>P-03-11M-WA</t>
  </si>
  <si>
    <t>P-03-11M-WB</t>
  </si>
  <si>
    <t>P-03-14M-WA</t>
  </si>
  <si>
    <t>P-03-14M-WB</t>
  </si>
  <si>
    <t>P-03-17M-WA</t>
  </si>
  <si>
    <t>Bright Shallow</t>
  </si>
  <si>
    <t>P-03-18M-WA</t>
  </si>
  <si>
    <t>P-03-18M-WB</t>
  </si>
  <si>
    <t>P-03-24M-EA</t>
  </si>
  <si>
    <t>P-03-24M-WA</t>
  </si>
  <si>
    <t>P-03-29M-WA</t>
  </si>
  <si>
    <t>P-03-31M-EA</t>
  </si>
  <si>
    <t>P-03-38M-EA</t>
  </si>
  <si>
    <t>P-03-39M-WA</t>
  </si>
  <si>
    <t>P-03-43M-EA</t>
  </si>
  <si>
    <t>P-03-45M-WA</t>
  </si>
  <si>
    <t>Deep White</t>
  </si>
  <si>
    <t>P-03-45M-WB</t>
  </si>
  <si>
    <t>P-03-52M-EA</t>
  </si>
  <si>
    <t>P-03-53M-WA</t>
  </si>
  <si>
    <t>P-04-01M-WA</t>
  </si>
  <si>
    <t>P-04-01M-WB</t>
  </si>
  <si>
    <t>P-04-02M-WA</t>
  </si>
  <si>
    <t>P-04-02M-WB</t>
  </si>
  <si>
    <t>P-04-03M-EA</t>
  </si>
  <si>
    <t>P-04-03M-EB</t>
  </si>
  <si>
    <t>P-04-03M-WA</t>
  </si>
  <si>
    <t>P-04-08M-WA</t>
  </si>
  <si>
    <t>P-04-08M-WB</t>
  </si>
  <si>
    <t>P-04-10M-EA</t>
  </si>
  <si>
    <t>P-04-10M-EB</t>
  </si>
  <si>
    <t>P-04-11M-WA</t>
  </si>
  <si>
    <t>P-04-11M-WB</t>
  </si>
  <si>
    <t>P-04-13M-EA</t>
  </si>
  <si>
    <t>P-04-13M-EB</t>
  </si>
  <si>
    <t>P-04-14M-WA</t>
  </si>
  <si>
    <t>P-04-14M-WB</t>
  </si>
  <si>
    <t>P-04-17M-EA</t>
  </si>
  <si>
    <t>P-04-17M-EB</t>
  </si>
  <si>
    <t>P-04-17M-WA</t>
  </si>
  <si>
    <t>P-04-17M-WB</t>
  </si>
  <si>
    <t>P-04-21M-EA</t>
  </si>
  <si>
    <t>Dead Shells</t>
  </si>
  <si>
    <t>P-04-22M-EA</t>
  </si>
  <si>
    <t>P-04-22M-WA</t>
  </si>
  <si>
    <t>P-04-22M-WB</t>
  </si>
  <si>
    <t>P-04-24M-WA</t>
  </si>
  <si>
    <t>P-04-31M-EA</t>
  </si>
  <si>
    <t>P-04-31M-WA</t>
  </si>
  <si>
    <t>P-04-38M-EA</t>
  </si>
  <si>
    <t>P-04-38M-WA</t>
  </si>
  <si>
    <t>P-04-38M-WB</t>
  </si>
  <si>
    <t>P-04-43M-WA</t>
  </si>
  <si>
    <t>P-04-46M-EA</t>
  </si>
  <si>
    <t>P-04-52M-EA</t>
  </si>
  <si>
    <t>P-04-52M-WA</t>
  </si>
  <si>
    <t>P-05-14M-WA</t>
  </si>
  <si>
    <t>P-05-24M-EA</t>
  </si>
  <si>
    <t>P-05-24M-EB</t>
  </si>
  <si>
    <t>P-05-24M-WA</t>
  </si>
  <si>
    <t>P-05-24M-WB</t>
  </si>
  <si>
    <t>P-05-31M-EA</t>
  </si>
  <si>
    <t>P-05-31M-EB</t>
  </si>
  <si>
    <t>P-05-31M-WA</t>
  </si>
  <si>
    <t>P-05-31M-WB</t>
  </si>
  <si>
    <t>P-05-40M-EA</t>
  </si>
  <si>
    <t>P-05-40M-EB</t>
  </si>
  <si>
    <t>P-05-40M-WA</t>
  </si>
  <si>
    <t>P-05-40M-WB</t>
  </si>
  <si>
    <t>P-05-45M-EA</t>
  </si>
  <si>
    <t>P-05-45M-EB</t>
  </si>
  <si>
    <t>P-05-45M-WA</t>
  </si>
  <si>
    <t>P-05-45M-WB</t>
  </si>
  <si>
    <t>P-05-52M-EA</t>
  </si>
  <si>
    <t>P-05-52M-EB</t>
  </si>
  <si>
    <t>P-05-54M-WA</t>
  </si>
  <si>
    <t>P-05-54M-WB</t>
  </si>
  <si>
    <t>P-06-01M-WA</t>
  </si>
  <si>
    <t>P-06-01M-WB</t>
  </si>
  <si>
    <t>P-06-12M-WA</t>
  </si>
  <si>
    <t>P-06-12M-WB</t>
  </si>
  <si>
    <t>P-06-14M-WA</t>
  </si>
  <si>
    <t>P-06-17M-WA</t>
  </si>
  <si>
    <t>P-06-17M-WB</t>
  </si>
  <si>
    <t>P-06-24M-EA</t>
  </si>
  <si>
    <t>P-06-24M-WA</t>
  </si>
  <si>
    <t>P-06-24M-WB</t>
  </si>
  <si>
    <t>P-06-30M-WA</t>
  </si>
  <si>
    <t>P-06-30M-WB</t>
  </si>
  <si>
    <t>P-06-31M-EA</t>
  </si>
  <si>
    <t>P-06-35M-WA</t>
  </si>
  <si>
    <t>P-06-35M-WB</t>
  </si>
  <si>
    <t>P-06-38M-EA</t>
  </si>
  <si>
    <t>P-06-43M-WA</t>
  </si>
  <si>
    <t>P-06-43M-WB</t>
  </si>
  <si>
    <t>P-06-45M-EA</t>
  </si>
  <si>
    <t>P-06-50M-WA</t>
  </si>
  <si>
    <t>P-06-52M-EA</t>
  </si>
  <si>
    <t>P-07-02M-EA</t>
  </si>
  <si>
    <t>P-07-02M-EB</t>
  </si>
  <si>
    <t>P-07-02M-EC</t>
  </si>
  <si>
    <t>P-07-02M-WA</t>
  </si>
  <si>
    <t>P-07-02M-WB</t>
  </si>
  <si>
    <t>P-07-03M-EA</t>
  </si>
  <si>
    <t>P-07-03M-WA</t>
  </si>
  <si>
    <t>P-07-03M-WB</t>
  </si>
  <si>
    <t>P-07-05M-EA</t>
  </si>
  <si>
    <t>P-07-05M-WA</t>
  </si>
  <si>
    <t>P-07-08M-EA</t>
  </si>
  <si>
    <t>P-07-08M-WA</t>
  </si>
  <si>
    <t>P-07-11M-EA</t>
  </si>
  <si>
    <t>P-07-11M-WA</t>
  </si>
  <si>
    <t>P-07-14M-EA</t>
  </si>
  <si>
    <t>P-07-14M-WA</t>
  </si>
  <si>
    <t>P-07-17M-EA</t>
  </si>
  <si>
    <t>P-07-17M-WA</t>
  </si>
  <si>
    <t>P-07-24M-EA</t>
  </si>
  <si>
    <t>P-07-24M-EB</t>
  </si>
  <si>
    <t>P-07-24M-WA</t>
  </si>
  <si>
    <t>P-07-31M-EA</t>
  </si>
  <si>
    <t>P-07-31M-WA</t>
  </si>
  <si>
    <t>P-07-38M-EA</t>
  </si>
  <si>
    <t>P-07-38M-WA</t>
  </si>
  <si>
    <t>P-07-45M-EA</t>
  </si>
  <si>
    <t>P-07-45M-WA</t>
  </si>
  <si>
    <t>P-07-52M-WA</t>
  </si>
  <si>
    <t>P-07-52M-WB</t>
  </si>
  <si>
    <t>P-X1-21M-WA</t>
  </si>
  <si>
    <t>P-X1-21M-WB</t>
  </si>
  <si>
    <t>P-X1-24M-WA</t>
  </si>
  <si>
    <t>P-X1-24M-WB</t>
  </si>
  <si>
    <t>P-X1-28M-WA</t>
  </si>
  <si>
    <t>P-X1-28M-WB</t>
  </si>
  <si>
    <t>P-X1-29M-WA</t>
  </si>
  <si>
    <t>P-X1-32M-WA</t>
  </si>
  <si>
    <t>P-X1-35M-WA</t>
  </si>
  <si>
    <t>P-X3-03M-WA</t>
  </si>
  <si>
    <t>P-X3-03M-WB</t>
  </si>
  <si>
    <t>P-X3-05M-WA</t>
  </si>
  <si>
    <t>P-X3-05M-WB</t>
  </si>
  <si>
    <t>P-X3-08M-WA</t>
  </si>
  <si>
    <t>P-X4-02M-EA</t>
  </si>
  <si>
    <t>P-X6-01M-EA</t>
  </si>
  <si>
    <t>P-X6-01M-EB</t>
  </si>
  <si>
    <t>P-X6-01M-EC</t>
  </si>
  <si>
    <t>P-X6-01M-ED</t>
  </si>
  <si>
    <t>P-X6-04M-EA</t>
  </si>
  <si>
    <t>P-X6-04M-EB</t>
  </si>
  <si>
    <t>P-X6-21M-EA</t>
  </si>
  <si>
    <t>P-X6-27M-EA</t>
  </si>
  <si>
    <t>P-X6-27M-EB</t>
  </si>
  <si>
    <t>P-X7-21M-EA</t>
  </si>
  <si>
    <t>P-X7-26M-EA</t>
  </si>
  <si>
    <t>P-X7-29M-EA</t>
  </si>
  <si>
    <t>Percent Cover</t>
  </si>
  <si>
    <t>junk</t>
  </si>
  <si>
    <t>group</t>
  </si>
  <si>
    <t>test</t>
  </si>
  <si>
    <t>junk2</t>
  </si>
  <si>
    <t>frame_click_count_DA</t>
  </si>
  <si>
    <t>frame_click_count_VS</t>
  </si>
  <si>
    <t>P-02-01m-Wa</t>
  </si>
  <si>
    <t>P-02-01m-Wb</t>
  </si>
  <si>
    <t>P-02-01m-Wc</t>
  </si>
  <si>
    <t>P-02-02m-Ea</t>
  </si>
  <si>
    <t>P-02-02m-Eb</t>
  </si>
  <si>
    <t>P-02-03m-Ea</t>
  </si>
  <si>
    <t>P-02-03m-Eb</t>
  </si>
  <si>
    <t>P-02-03m-Wa</t>
  </si>
  <si>
    <t>P-02-03m-Wb</t>
  </si>
  <si>
    <t>P-02-05m-Ea</t>
  </si>
  <si>
    <t>P-02-05m-Eb</t>
  </si>
  <si>
    <t>P-02-05m-Ec</t>
  </si>
  <si>
    <t>P-02-05m-Ed</t>
  </si>
  <si>
    <t>P-02-08m-Wa</t>
  </si>
  <si>
    <t>P-02-08m-Wb</t>
  </si>
  <si>
    <t>P-02-11m-Ea</t>
  </si>
  <si>
    <t>P-02-11m-Eb</t>
  </si>
  <si>
    <t>P-02-14m-Ea</t>
  </si>
  <si>
    <t>P-02-14m-Eb</t>
  </si>
  <si>
    <t>P-02-14m-Wa</t>
  </si>
  <si>
    <t>P-02-14m-Wb</t>
  </si>
  <si>
    <t>P-02-17m-Ea</t>
  </si>
  <si>
    <t>P-02-17m-Eb</t>
  </si>
  <si>
    <t>P-02-17m-Wa</t>
  </si>
  <si>
    <t>P-02-17m-Wb</t>
  </si>
  <si>
    <t>P-02-21m-Ea</t>
  </si>
  <si>
    <t>P-02-21m-Eb</t>
  </si>
  <si>
    <t>P-02-24m-Wa</t>
  </si>
  <si>
    <t>P-02-24m-Wb</t>
  </si>
  <si>
    <t>P-03-07m-Wa</t>
  </si>
  <si>
    <t>P-03-07m-Wb</t>
  </si>
  <si>
    <t>P-03-11m-Wa</t>
  </si>
  <si>
    <t>P-03-11m-Wb</t>
  </si>
  <si>
    <t>P-03-14m-Wa</t>
  </si>
  <si>
    <t>P-03-14m-Wb</t>
  </si>
  <si>
    <t>P-03-17m-Wa</t>
  </si>
  <si>
    <t>P-03-18m-Wa</t>
  </si>
  <si>
    <t>P-03-18m-Wb</t>
  </si>
  <si>
    <t>P-03-24m-Ea</t>
  </si>
  <si>
    <t>P-03-24m-Wa</t>
  </si>
  <si>
    <t>P-03-29m-Wa</t>
  </si>
  <si>
    <t>P-03-31m-Ea</t>
  </si>
  <si>
    <t>P-03-38m-Ea</t>
  </si>
  <si>
    <t>P-03-39m-Wa</t>
  </si>
  <si>
    <t>P-03-43m-Ea</t>
  </si>
  <si>
    <t>P-03-45m-Wa</t>
  </si>
  <si>
    <t>P-03-52m-Ea</t>
  </si>
  <si>
    <t>P-03-53m-Wa</t>
  </si>
  <si>
    <t>P-04-01m-Wa</t>
  </si>
  <si>
    <t>P-04-01m-Wb</t>
  </si>
  <si>
    <t>P-04-01m-Wc</t>
  </si>
  <si>
    <t>P-04-02m-Wa</t>
  </si>
  <si>
    <t>P-04-02m-Wb</t>
  </si>
  <si>
    <t>P-04-03m-Ea</t>
  </si>
  <si>
    <t>P-04-03m-Eb</t>
  </si>
  <si>
    <t>P-04-03m-Wa</t>
  </si>
  <si>
    <t>P-04-03m-Wb</t>
  </si>
  <si>
    <t>P-04-08m-Wa</t>
  </si>
  <si>
    <t>P-04-08m-Wb</t>
  </si>
  <si>
    <t>P-04-10m-Ea</t>
  </si>
  <si>
    <t>P-04-10m-Eb</t>
  </si>
  <si>
    <t>P-04-11m-Wa</t>
  </si>
  <si>
    <t>P-04-11m-Wb</t>
  </si>
  <si>
    <t>P-04-13m-Ea</t>
  </si>
  <si>
    <t>P-04-14m-Wa</t>
  </si>
  <si>
    <t>P-04-14m-Wb</t>
  </si>
  <si>
    <t>P-04-17m-Ea</t>
  </si>
  <si>
    <t>P-04-17m-Eb</t>
  </si>
  <si>
    <t>P-04-17m-Wa</t>
  </si>
  <si>
    <t>P-04-17m-Wb</t>
  </si>
  <si>
    <t>P-04-21m-Ea</t>
  </si>
  <si>
    <t>P-04-22m-Ea</t>
  </si>
  <si>
    <t>P-04-22m-Wa</t>
  </si>
  <si>
    <t>P-04-22m-Wb</t>
  </si>
  <si>
    <t>P-04-24m-Wa</t>
  </si>
  <si>
    <t>P-04-31m-Ea</t>
  </si>
  <si>
    <t>P-04-31m-Wa</t>
  </si>
  <si>
    <t>P-04-38m-Ea</t>
  </si>
  <si>
    <t>P-04-38m-Wa</t>
  </si>
  <si>
    <t>P-04-38m-Wb</t>
  </si>
  <si>
    <t>P-04-43m-Wa</t>
  </si>
  <si>
    <t>P-04-46m-Ea</t>
  </si>
  <si>
    <t>P-04-52m-Ea</t>
  </si>
  <si>
    <t>P-04-52m-Wa</t>
  </si>
  <si>
    <t>P-05-14m-Wa</t>
  </si>
  <si>
    <t>P-05-24m-Ea</t>
  </si>
  <si>
    <t>P-05-24m-Eb</t>
  </si>
  <si>
    <t>P-05-24m-Wa</t>
  </si>
  <si>
    <t>P-05-24m-Wb</t>
  </si>
  <si>
    <t>P-05-31m-Ea</t>
  </si>
  <si>
    <t>P-05-31m-Eb</t>
  </si>
  <si>
    <t>P-05-31m-Wa</t>
  </si>
  <si>
    <t>P-05-31m-Wb</t>
  </si>
  <si>
    <t>P-05-40m-Ea</t>
  </si>
  <si>
    <t>P-05-40m-Eb</t>
  </si>
  <si>
    <t>P-05-40m-Wa</t>
  </si>
  <si>
    <t>P-05-40m-Wb</t>
  </si>
  <si>
    <t>P-05-45m-Ea</t>
  </si>
  <si>
    <t>P-05-45m-Eb</t>
  </si>
  <si>
    <t>P-05-45m-Wa</t>
  </si>
  <si>
    <t>P-05-45m-Wb</t>
  </si>
  <si>
    <t>P-05-52m-Ea</t>
  </si>
  <si>
    <t>P-05-52m-Eb</t>
  </si>
  <si>
    <t>P-05-54m-Wa</t>
  </si>
  <si>
    <t>P-05-54m-Wb</t>
  </si>
  <si>
    <t>P-06-01m-Wa</t>
  </si>
  <si>
    <t>P-06-01m-Wb</t>
  </si>
  <si>
    <t>P-06-08m-Ea</t>
  </si>
  <si>
    <t>P-06-12m-Wa</t>
  </si>
  <si>
    <t>P-06-12m-Wb</t>
  </si>
  <si>
    <t>P-06-14m-Wa</t>
  </si>
  <si>
    <t>P-06-17m-Wa</t>
  </si>
  <si>
    <t>P-06-17m-Wb</t>
  </si>
  <si>
    <t>P-06-24m-Ea</t>
  </si>
  <si>
    <t>P-06-24m-Wa</t>
  </si>
  <si>
    <t>P-06-24m-Wb</t>
  </si>
  <si>
    <t>P-06-30m-Wa</t>
  </si>
  <si>
    <t>P-06-30m-Wb</t>
  </si>
  <si>
    <t>P-06-31m-Ea</t>
  </si>
  <si>
    <t>P-06-35m-Wa</t>
  </si>
  <si>
    <t>P-06-35m-Wb</t>
  </si>
  <si>
    <t>P-06-38m-Ea</t>
  </si>
  <si>
    <t>P-06-43m-Wa</t>
  </si>
  <si>
    <t>P-06-43m-Wb</t>
  </si>
  <si>
    <t>P-06-45m-Ea</t>
  </si>
  <si>
    <t>P-06-50m-Wa</t>
  </si>
  <si>
    <t>P-06-52m-Ea</t>
  </si>
  <si>
    <t>P-07-02m-Ea</t>
  </si>
  <si>
    <t>P-07-02m-Eb</t>
  </si>
  <si>
    <t>P-07-02m-Ec</t>
  </si>
  <si>
    <t>P-07-02m-Wa</t>
  </si>
  <si>
    <t>P-07-02m-Wb</t>
  </si>
  <si>
    <t>P-07-03m-Ea</t>
  </si>
  <si>
    <t>P-07-03m-Wa</t>
  </si>
  <si>
    <t>P-07-03m-Wb</t>
  </si>
  <si>
    <t>P-07-05m-Ea</t>
  </si>
  <si>
    <t>P-07-05m-Wa</t>
  </si>
  <si>
    <t>P-07-08m-Ea</t>
  </si>
  <si>
    <t>P-07-08m-Wa</t>
  </si>
  <si>
    <t>P-07-11m-Ea</t>
  </si>
  <si>
    <t>P-07-11m-Wa</t>
  </si>
  <si>
    <t>P-07-14m-Ea</t>
  </si>
  <si>
    <t>P-07-14m-Wa</t>
  </si>
  <si>
    <t>P-07-17m-Ea</t>
  </si>
  <si>
    <t>P-07-17m-Wa</t>
  </si>
  <si>
    <t>P-07-24m-Ea</t>
  </si>
  <si>
    <t>P-07-24m-Eb</t>
  </si>
  <si>
    <t>P-07-24m-Wa</t>
  </si>
  <si>
    <t>P-07-31m-Ea</t>
  </si>
  <si>
    <t>P-07-31m-Wa</t>
  </si>
  <si>
    <t>P-07-38m-Ea</t>
  </si>
  <si>
    <t>P-07-38m-Wa</t>
  </si>
  <si>
    <t>P-07-45m-Ea</t>
  </si>
  <si>
    <t>P-07-45m-Wa</t>
  </si>
  <si>
    <t>P-07-52m-Wa</t>
  </si>
  <si>
    <t>P-07-52m-Wb</t>
  </si>
  <si>
    <t>P-X1-21m-Wa</t>
  </si>
  <si>
    <t>P-X1-21m-Wb</t>
  </si>
  <si>
    <t>P-X1-24m-Wa</t>
  </si>
  <si>
    <t>P-X1-24m-Wb</t>
  </si>
  <si>
    <t>P-X1-28m-Wa</t>
  </si>
  <si>
    <t>P-X1-29m-Wa</t>
  </si>
  <si>
    <t>P-X1-32m-Wa</t>
  </si>
  <si>
    <t>P-X1-35m-Wa</t>
  </si>
  <si>
    <t>P-x3-03m-Wa</t>
  </si>
  <si>
    <t>P-x3-03m-Wb</t>
  </si>
  <si>
    <t>P-x3-05m-Wa</t>
  </si>
  <si>
    <t>P-x3-05m-Wb</t>
  </si>
  <si>
    <t>P-x3-08m-Wa</t>
  </si>
  <si>
    <t>P-x4-01m-Ea</t>
  </si>
  <si>
    <t>P-x4-01m-Eb</t>
  </si>
  <si>
    <t>P-x6-01m-Ea</t>
  </si>
  <si>
    <t>P-x6-01m-Eb</t>
  </si>
  <si>
    <t>P-x6-01m-Ec</t>
  </si>
  <si>
    <t>P-x6-04m-Ea</t>
  </si>
  <si>
    <t>P-x6-04m-Eb</t>
  </si>
  <si>
    <t>P-x6-21m-Ea</t>
  </si>
  <si>
    <t>P-x6-27m-Ea</t>
  </si>
  <si>
    <t>P-x7-01m-Ea</t>
  </si>
  <si>
    <t>P-x7-01m-Eb</t>
  </si>
  <si>
    <t>P-x7-26m-Ea</t>
  </si>
  <si>
    <t>P-x7-29m-Ea</t>
  </si>
  <si>
    <t>D-01-03m-Wa</t>
  </si>
  <si>
    <t>D-01-03m-Wb</t>
  </si>
  <si>
    <t>D-01-05m-Ea</t>
  </si>
  <si>
    <t>D-01-05m-Wa</t>
  </si>
  <si>
    <t>D-01-06m-Ea</t>
  </si>
  <si>
    <t>D-03-01m-Wa</t>
  </si>
  <si>
    <t>D-03-02m-Wa</t>
  </si>
  <si>
    <t>D-03-02m-Wb</t>
  </si>
  <si>
    <t>D-03-02m-Ea</t>
  </si>
  <si>
    <t>D-03-03m-Wa</t>
  </si>
  <si>
    <t>D-03-03m-Wb</t>
  </si>
  <si>
    <t>D-03-04m-Wa</t>
  </si>
  <si>
    <t>D-03-05m-Wa</t>
  </si>
  <si>
    <t>D-03-05m-Wb</t>
  </si>
  <si>
    <t>D-03-08m-Wa</t>
  </si>
  <si>
    <t>D-03-08m-Ea</t>
  </si>
  <si>
    <t>D-03-11m-Wa</t>
  </si>
  <si>
    <t>D-03-11m-Wb</t>
  </si>
  <si>
    <t>D-03-11m-Ea</t>
  </si>
  <si>
    <t>D-03-14m-Wa</t>
  </si>
  <si>
    <t>D-03-14m-Wb</t>
  </si>
  <si>
    <t>D-03-14m-Ea</t>
  </si>
  <si>
    <t>D-03-17m-Ea</t>
  </si>
  <si>
    <t>D-05-01m-Wa</t>
  </si>
  <si>
    <t>D-05-02m-Ea</t>
  </si>
  <si>
    <t>D-05-03m-Ea</t>
  </si>
  <si>
    <t>D-05-05m-Ea</t>
  </si>
  <si>
    <t>D-05-05m-Wa</t>
  </si>
  <si>
    <t>D-05-08m-Ea</t>
  </si>
  <si>
    <t>D-05-11m-Ea</t>
  </si>
  <si>
    <t>D-05-11m-Wa</t>
  </si>
  <si>
    <t>D-05-14m-Ea</t>
  </si>
  <si>
    <t>D-05-14m-Wa</t>
  </si>
  <si>
    <t>D-05-17m-Ea</t>
  </si>
  <si>
    <t>D-05-17m-Wa</t>
  </si>
  <si>
    <t>D-06-02m-Wa</t>
  </si>
  <si>
    <t>D-06-03m-Ea</t>
  </si>
  <si>
    <t>D-06-03m-Wa</t>
  </si>
  <si>
    <t>D-06-05m-Ea</t>
  </si>
  <si>
    <t>D-06-05m-Wa</t>
  </si>
  <si>
    <t>D-06-08m-Ea</t>
  </si>
  <si>
    <t>D-06-08m-Wa</t>
  </si>
  <si>
    <t>D-06-11m-Ea</t>
  </si>
  <si>
    <t>D-06-14m-Ea</t>
  </si>
  <si>
    <t>D-06-17m-Ea</t>
  </si>
  <si>
    <t>D-08-01m-Wa</t>
  </si>
  <si>
    <t>D-08-01m-Wb</t>
  </si>
  <si>
    <t>D-08-02m-Wa</t>
  </si>
  <si>
    <t>D-08-03m-Wa</t>
  </si>
  <si>
    <t>D-08-05m-Ea</t>
  </si>
  <si>
    <t>D-08-05m-Eb</t>
  </si>
  <si>
    <t>D-08-05m-Wa</t>
  </si>
  <si>
    <t>D-08-05m-Wb</t>
  </si>
  <si>
    <t>Count 2</t>
  </si>
  <si>
    <t>P-x4-02m-Ea</t>
  </si>
  <si>
    <t>P-x4-02m-Eb</t>
  </si>
  <si>
    <t>scuba_click_count_DA</t>
  </si>
  <si>
    <t>scuba_click_count_VS</t>
  </si>
  <si>
    <t>D-Z1-03m-Ea</t>
  </si>
  <si>
    <t>D-Z1-04m-Ea</t>
  </si>
  <si>
    <t>D-Z1-05m-Ea</t>
  </si>
  <si>
    <t>D-Z1-07m-Ea</t>
  </si>
  <si>
    <t>D-Z1-08m-Ea</t>
  </si>
  <si>
    <t>D-Z1-10m-Ea</t>
  </si>
  <si>
    <t>D-Z2-08m-Ea</t>
  </si>
  <si>
    <t>D-Z2-09m-Ea</t>
  </si>
  <si>
    <t>D-Z2-10m-Ea</t>
  </si>
  <si>
    <t>D-Z2-10m-Eb</t>
  </si>
  <si>
    <t>D-Z2-11m-Ea</t>
  </si>
  <si>
    <t>D-Z2-12m-Ea</t>
  </si>
  <si>
    <t>D-1B-01m-Ea</t>
  </si>
  <si>
    <t>D-1B-01m-Eb</t>
  </si>
  <si>
    <t>D-1B-02m-Ea</t>
  </si>
  <si>
    <t>D-1B-02m-Eb</t>
  </si>
  <si>
    <t>D-1B-03m-Ea</t>
  </si>
  <si>
    <t>D-1B-03m-Eb</t>
  </si>
  <si>
    <t>D-1B-03m-Ec</t>
  </si>
  <si>
    <t>click_count_DA</t>
  </si>
  <si>
    <t>click_count_VS</t>
  </si>
  <si>
    <t>manually labelled</t>
  </si>
  <si>
    <t>x</t>
  </si>
  <si>
    <t>D-01-05m-Wa_wp129</t>
  </si>
  <si>
    <t>recheck</t>
  </si>
  <si>
    <t>D-01-03m-Wa_wp121.MP4- 008.jpg</t>
  </si>
  <si>
    <t>D-01-03m-Wb_wp122.MP4- 071.jpg</t>
  </si>
  <si>
    <t>D-01-05m-Ea_wp123.MP4- 064.jpg</t>
  </si>
  <si>
    <t>D-01-05m-Wa_wp119.MP4- 062.jpg</t>
  </si>
  <si>
    <t>D-01-05m-Wa_wp120.MP4- 098.jpg</t>
  </si>
  <si>
    <t>D-01-06m-Ea.MP4- 611.jpg</t>
  </si>
  <si>
    <t>D-03-01m-Wa.jpg</t>
  </si>
  <si>
    <t>D-03-02m-Wa.jpg</t>
  </si>
  <si>
    <t>D-03-02m-Wb.jpg</t>
  </si>
  <si>
    <t>D-03-02m_Ea.jpg</t>
  </si>
  <si>
    <t>D-03-03m-Wa.jpg</t>
  </si>
  <si>
    <t>D-03-03m-Wb.jpg</t>
  </si>
  <si>
    <t>D-03-04m-Wa.jpg</t>
  </si>
  <si>
    <t>D-03-05m-Wa.jpg</t>
  </si>
  <si>
    <t>D-03-05m-Wb.jpg</t>
  </si>
  <si>
    <t>D-03-08m-Wa.jpg</t>
  </si>
  <si>
    <t>D-03-08m_Ea.jpg</t>
  </si>
  <si>
    <t>D-03-11m-Wa.jpg</t>
  </si>
  <si>
    <t>D-03-11m-Wb.jpg</t>
  </si>
  <si>
    <t>D-03-11m_Ea.jpg</t>
  </si>
  <si>
    <t>D-03-14m-Wa.jpg</t>
  </si>
  <si>
    <t>D-03-14m-Wb.jpg</t>
  </si>
  <si>
    <t>D-03-14m_Ea.jpg</t>
  </si>
  <si>
    <t>D-03-17m_Ea.jpg</t>
  </si>
  <si>
    <t>D-05-01m-Wa.jpg</t>
  </si>
  <si>
    <t>D-05-02m-Ea.jpg</t>
  </si>
  <si>
    <t>D-05-03m-Ea.jpg</t>
  </si>
  <si>
    <t>D-05-05m-Ea.jpg</t>
  </si>
  <si>
    <t>D-05-05m-Wa.jpg</t>
  </si>
  <si>
    <t>D-05-08m-Ea.jpg</t>
  </si>
  <si>
    <t>D-05-11m-Ea-1.jpg</t>
  </si>
  <si>
    <t>D-05-11m-Wa.jpg</t>
  </si>
  <si>
    <t>D-05-14m-Ea.jpg</t>
  </si>
  <si>
    <t>D-05-14m-Wa.jpg</t>
  </si>
  <si>
    <t>D-05-17m-Ea.jpg</t>
  </si>
  <si>
    <t>D-05-17m-Wa.jpg</t>
  </si>
  <si>
    <t>D-06-02m-Wa.jpg</t>
  </si>
  <si>
    <t>D-06-03m-Ea.jpg</t>
  </si>
  <si>
    <t>D-06-03m-Wa.jpg</t>
  </si>
  <si>
    <t>D-06-05m-Ea.jpg</t>
  </si>
  <si>
    <t>D-06-05m-Wa.jpg</t>
  </si>
  <si>
    <t>D-06-08m-Ea.jpg</t>
  </si>
  <si>
    <t>D-06-08m-Wa.jpg</t>
  </si>
  <si>
    <t>D-06-11m-Ea.jpg</t>
  </si>
  <si>
    <t>D-06-14m-Ea.jpg</t>
  </si>
  <si>
    <t>D-06-17m-Ea.jpg</t>
  </si>
  <si>
    <t>D-08-01m-Wa.jpg</t>
  </si>
  <si>
    <t>D-08-01m-Wb.jpg</t>
  </si>
  <si>
    <t>D-08-02m-Wa.jpg</t>
  </si>
  <si>
    <t>D-08-03m-Wa-1.jpg</t>
  </si>
  <si>
    <t>D-08-05m-Ea-1.jpg</t>
  </si>
  <si>
    <t>D-08-05m-Eb-1.jpg</t>
  </si>
  <si>
    <t>D-08-05m-Wa-1.jpg</t>
  </si>
  <si>
    <t>D-08-05m-Wb-1.jpg</t>
  </si>
  <si>
    <t>D-X2-01m-Ea_wp129.MP4- 51.jpg</t>
  </si>
  <si>
    <t>D-X2-01m-Eb_wp129.MP4- 01.jpg</t>
  </si>
  <si>
    <t>D-X2-02m-Ea_wp128.MP4- 006.jpg</t>
  </si>
  <si>
    <t>D-X2-02m-Eb_wp128.MP4- 16.jpg</t>
  </si>
  <si>
    <t>D-X2-03m-Ea_wp125.MP4- 084.jpg</t>
  </si>
  <si>
    <t>D-X2-03m-Eb_wp126.MP4- 163.jpg</t>
  </si>
  <si>
    <t>D-X2-03m-Ec_wp127.MP4- 098.jpg</t>
  </si>
  <si>
    <t>D-xx1-03m-Ea.jpg</t>
  </si>
  <si>
    <t>D-xx1-04m-Ea.jpg</t>
  </si>
  <si>
    <t>D-xx1-05m-Ea.jpg</t>
  </si>
  <si>
    <t>D-xx1-07m-Ea.jpg</t>
  </si>
  <si>
    <t>D-xx1-08m-Ea.jpg</t>
  </si>
  <si>
    <t>D-xx1-10m-Ea.jpg</t>
  </si>
  <si>
    <t>D-xx1b-08m-Ea.jpg</t>
  </si>
  <si>
    <t>D-xx1b-09m-Ea.jpg</t>
  </si>
  <si>
    <t>D-xx1b-10m-Ea.jpg</t>
  </si>
  <si>
    <t>D-xx1b-10m-Eb.jpg</t>
  </si>
  <si>
    <t>D-xx1b-11m-Ea-1.jpg</t>
  </si>
  <si>
    <t>D-xx1b-12m-Ea.jpg</t>
  </si>
  <si>
    <t>P-02-01m-Wa.jpg</t>
  </si>
  <si>
    <t>P-02-01m-Wb.jpg</t>
  </si>
  <si>
    <t>P-02-01m-Wc.jpg</t>
  </si>
  <si>
    <t>P-02-02m-Ea.jpg</t>
  </si>
  <si>
    <t>P-02-02m-Eb.jpg</t>
  </si>
  <si>
    <t>P-02-03m-Ea.jpg</t>
  </si>
  <si>
    <t>P-02-03m-Eb.jpg</t>
  </si>
  <si>
    <t>P-02-03m-Wa.jpg</t>
  </si>
  <si>
    <t>P-02-03m-Wb.jpg</t>
  </si>
  <si>
    <t>P-02-05m-Ea.jpg</t>
  </si>
  <si>
    <t>P-02-05m-Eb.jpg</t>
  </si>
  <si>
    <t>P-02-05m-Ec.jpg</t>
  </si>
  <si>
    <t>P-02-05m-Ed.jpg</t>
  </si>
  <si>
    <t>P-02-08m-Wa.jpg</t>
  </si>
  <si>
    <t>P-02-08m-Wb.jpg</t>
  </si>
  <si>
    <t>P-02-11m-Ea.jpg</t>
  </si>
  <si>
    <t>P-02-11m-Eb.jpg</t>
  </si>
  <si>
    <t>P-02-14m-Ea.jpg</t>
  </si>
  <si>
    <t>P-02-14m-Eb.jpg</t>
  </si>
  <si>
    <t>P-02-14m-Wa.jpg</t>
  </si>
  <si>
    <t>P-02-14m-Wb.jpg</t>
  </si>
  <si>
    <t>P-02-17m-Ea.jpg</t>
  </si>
  <si>
    <t>P-02-17m-Eb.jpg</t>
  </si>
  <si>
    <t>P-02-17m-Wa.jpg</t>
  </si>
  <si>
    <t>P-02-17m-Wb.jpg</t>
  </si>
  <si>
    <t>P-02-21m-Ea.jpg</t>
  </si>
  <si>
    <t>P-02-21m-Eb.jpg</t>
  </si>
  <si>
    <t>P-02-24m-Wa.jpg</t>
  </si>
  <si>
    <t>P-02-24m-Wb.jpg</t>
  </si>
  <si>
    <t>P-03-07m-Wa.jpg</t>
  </si>
  <si>
    <t>P-03-11m-Wa.jpg</t>
  </si>
  <si>
    <t>P-03-11m-Wb.jpg</t>
  </si>
  <si>
    <t>P-03-14m-Wa.jpg</t>
  </si>
  <si>
    <t>P-03-14m-Wb.jpg</t>
  </si>
  <si>
    <t>P-03-17m-Wa.jpg</t>
  </si>
  <si>
    <t>P-03-18m-Wa.jpg</t>
  </si>
  <si>
    <t>P-03-18m-Wb.jpg</t>
  </si>
  <si>
    <t>P-03-24m-Ea.jpg</t>
  </si>
  <si>
    <t>P-03-24m-Wa.jpg</t>
  </si>
  <si>
    <t>P-03-29m-Wa.jpg</t>
  </si>
  <si>
    <t>P-03-31m-Ea.jpg</t>
  </si>
  <si>
    <t>P-03-38m-Ea.jpg</t>
  </si>
  <si>
    <t>P-03-39m-Wa.jpg</t>
  </si>
  <si>
    <t>P-03-43m-Ea.jpg</t>
  </si>
  <si>
    <t>P-03-45m-Wa.jpg</t>
  </si>
  <si>
    <t>P-03-52m-Ea.jpg</t>
  </si>
  <si>
    <t>P-03-53m-Wa.jpg</t>
  </si>
  <si>
    <t>P-04-01m-Wa.jpg</t>
  </si>
  <si>
    <t>P-04-01m-Wb.jpg</t>
  </si>
  <si>
    <t>P-04-01m-Wc.jpg</t>
  </si>
  <si>
    <t>P-04-02m-Wa.jpg</t>
  </si>
  <si>
    <t>P-04-02m-Wb.jpg</t>
  </si>
  <si>
    <t>P-04-03m-Ea.jpg</t>
  </si>
  <si>
    <t>P-04-03m-Eb.jpg</t>
  </si>
  <si>
    <t>P-04-03m-Wa.jpg</t>
  </si>
  <si>
    <t>P-04-03m-Wb.jpg</t>
  </si>
  <si>
    <t>P-04-08m-Wa.jpg</t>
  </si>
  <si>
    <t>P-04-08m-Wb.jpg</t>
  </si>
  <si>
    <t>P-04-10m-Ea.jpg</t>
  </si>
  <si>
    <t>P-04-10m-Eb.jpg</t>
  </si>
  <si>
    <t>P-04-11m-Wa.jpg</t>
  </si>
  <si>
    <t>P-04-11m-Wb.jpg</t>
  </si>
  <si>
    <t>P-04-13m-Ea.jpg</t>
  </si>
  <si>
    <t>P-04-14m-Wa.jpg</t>
  </si>
  <si>
    <t>P-04-14m-Wb.jpg</t>
  </si>
  <si>
    <t>P-04-17m-Ea.jpg</t>
  </si>
  <si>
    <t>P-04-17m-Eb.jpg</t>
  </si>
  <si>
    <t>P-04-17m-Wa.jpg</t>
  </si>
  <si>
    <t>P-04-17m-Wb.jpg</t>
  </si>
  <si>
    <t>P-04-21m-Ea.jpg</t>
  </si>
  <si>
    <t>P-04-22m-Ea.jpg</t>
  </si>
  <si>
    <t>P-04-22m-Wa.jpg</t>
  </si>
  <si>
    <t>P-04-22m-Wb.jpg</t>
  </si>
  <si>
    <t>P-04-24m-Wa.jpg</t>
  </si>
  <si>
    <t>P-04-31m-Ea.jpg</t>
  </si>
  <si>
    <t>P-04-31m-Wa.jpg</t>
  </si>
  <si>
    <t>P-04-38m-Ea.jpg</t>
  </si>
  <si>
    <t>P-04-38m-Wa.jpg</t>
  </si>
  <si>
    <t>P-04-38m-Wb.jpg</t>
  </si>
  <si>
    <t>P-04-43m-Wa.jpg</t>
  </si>
  <si>
    <t>P-04-46m-Ea.jpg</t>
  </si>
  <si>
    <t>P-04-52m-Ea.jpg</t>
  </si>
  <si>
    <t>P-04-52m-Wa.jpg</t>
  </si>
  <si>
    <t>P-05-14m-Wa.jpg</t>
  </si>
  <si>
    <t>P-05-24m-Ea.jpg</t>
  </si>
  <si>
    <t>P-05-24m-Eb.jpg</t>
  </si>
  <si>
    <t>P-05-24m-Wa.jpg</t>
  </si>
  <si>
    <t>P-05-24m-Wb.jpg</t>
  </si>
  <si>
    <t>P-05-31m-Ea.jpg</t>
  </si>
  <si>
    <t>P-05-31m-Eb.jpg</t>
  </si>
  <si>
    <t>P-05-31m-Wa.jpg</t>
  </si>
  <si>
    <t>P-05-31m-Wb.jpg</t>
  </si>
  <si>
    <t>P-05-40m-Ea.jpg</t>
  </si>
  <si>
    <t>P-05-40m-Eb.jpg</t>
  </si>
  <si>
    <t>P-05-40m-Wa.jpg</t>
  </si>
  <si>
    <t>P-05-40m-Wb.jpg</t>
  </si>
  <si>
    <t>P-05-45m-Ea.jpg</t>
  </si>
  <si>
    <t>P-05-45m-Eb.jpg</t>
  </si>
  <si>
    <t>P-05-45m-Wa.jpg</t>
  </si>
  <si>
    <t>P-05-45m-Wb.jpg</t>
  </si>
  <si>
    <t>P-05-52m-Ea.jpg</t>
  </si>
  <si>
    <t>P-05-52m-Eb.jpg</t>
  </si>
  <si>
    <t>P-05-54m-Wa.jpg</t>
  </si>
  <si>
    <t>P-05-54m-Wb.jpg</t>
  </si>
  <si>
    <t>P-06-01m-Wa.jpg</t>
  </si>
  <si>
    <t>P-06-01m-Wb.jpg</t>
  </si>
  <si>
    <t>P-06-08m-Ea.jpg</t>
  </si>
  <si>
    <t>P-06-12m-Wa.jpg</t>
  </si>
  <si>
    <t>P-06-12m-Wb.jpg</t>
  </si>
  <si>
    <t>P-06-14m-Wa.jpg</t>
  </si>
  <si>
    <t>P-06-17m-Wa.jpg</t>
  </si>
  <si>
    <t>P-06-17m-Wb.jpg</t>
  </si>
  <si>
    <t>P-06-24m-Ea.jpg</t>
  </si>
  <si>
    <t>P-06-24m-Wa.jpg</t>
  </si>
  <si>
    <t>P-06-24m-Wb.jpg</t>
  </si>
  <si>
    <t>P-06-30m-Wa.jpg</t>
  </si>
  <si>
    <t>P-06-30m-Wb.jpg</t>
  </si>
  <si>
    <t>P-06-31m-Ea.jpg</t>
  </si>
  <si>
    <t>P-06-35m-Wa.jpg</t>
  </si>
  <si>
    <t>P-06-35m-Wb.jpg</t>
  </si>
  <si>
    <t>P-06-38m-Ea.jpg</t>
  </si>
  <si>
    <t>P-06-43m-Wa.jpg</t>
  </si>
  <si>
    <t>P-06-43m-Wb.jpg</t>
  </si>
  <si>
    <t>P-06-45m-Ea.jpg</t>
  </si>
  <si>
    <t>P-06-50m-Wa.jpg</t>
  </si>
  <si>
    <t>P-06-52m-Ea.jpg</t>
  </si>
  <si>
    <t>P-07-02m-Ea.jpg</t>
  </si>
  <si>
    <t>P-07-02m-Eb.jpg</t>
  </si>
  <si>
    <t>P-07-02m-Ec.jpg</t>
  </si>
  <si>
    <t>P-07-02m-Wa.jpg</t>
  </si>
  <si>
    <t>P-07-02m-Wb.jpg</t>
  </si>
  <si>
    <t>P-07-03m-Ea.jpg</t>
  </si>
  <si>
    <t>P-07-03m-Wa.jpg</t>
  </si>
  <si>
    <t>P-07-03m-Wb.jpg</t>
  </si>
  <si>
    <t>P-07-05m-Ea.jpg</t>
  </si>
  <si>
    <t>P-07-05m-Wa.jpg</t>
  </si>
  <si>
    <t>P-07-08m-Ea.jpg</t>
  </si>
  <si>
    <t>P-07-08m-Wa.jpg</t>
  </si>
  <si>
    <t>P-07-11m-Ea.jpg</t>
  </si>
  <si>
    <t>P-07-11m-Wa.jpg</t>
  </si>
  <si>
    <t>P-07-14m-Ea.jpg</t>
  </si>
  <si>
    <t>P-07-14m-Wa.jpg</t>
  </si>
  <si>
    <t>P-07-17m-Ea.jpg</t>
  </si>
  <si>
    <t>P-07-17m-Wa.jpg</t>
  </si>
  <si>
    <t>P-07-24m-Ea.jpg</t>
  </si>
  <si>
    <t>P-07-24m-Eb.jpg</t>
  </si>
  <si>
    <t>P-07-24m-Wa.jpg</t>
  </si>
  <si>
    <t>P-07-31m-Ea.jpg</t>
  </si>
  <si>
    <t>P-07-31m-Wa.jpg</t>
  </si>
  <si>
    <t>P-07-38m-Ea.jpg</t>
  </si>
  <si>
    <t>P-07-38m-Wa.jpg</t>
  </si>
  <si>
    <t>P-07-45m-Ea.jpg</t>
  </si>
  <si>
    <t>P-07-45m-Wa.jpg</t>
  </si>
  <si>
    <t>P-07-52m-Wa.jpg</t>
  </si>
  <si>
    <t>P-07-52m-Wb.jpg</t>
  </si>
  <si>
    <t>P-X1-21m-Wa.jpg</t>
  </si>
  <si>
    <t>P-X1-21m-Wb.jpg</t>
  </si>
  <si>
    <t>P-X1-24m-Wa.jpg</t>
  </si>
  <si>
    <t>P-X1-24m-Wb.jpg</t>
  </si>
  <si>
    <t>P-X1-28m-Wa.jpg</t>
  </si>
  <si>
    <t>P-X1-29m-Wa.jpg</t>
  </si>
  <si>
    <t>P-X1-32m-Wa.jpg</t>
  </si>
  <si>
    <t>P-X1-35m-Wa.jpg</t>
  </si>
  <si>
    <t>P-x3-03m-Wa.jpg</t>
  </si>
  <si>
    <t>P-x3-03m-Wb-.jpg</t>
  </si>
  <si>
    <t>P-x3-05m-Wa.jpg</t>
  </si>
  <si>
    <t>P-x3-05m-Wb.jpg</t>
  </si>
  <si>
    <t>P-x3-08m-Wa.jpg</t>
  </si>
  <si>
    <t>P-x4-01m-Ea.jpg</t>
  </si>
  <si>
    <t>P-x4-01m-Eb.jpg</t>
  </si>
  <si>
    <t>P-x4_02m-Ea.jpg</t>
  </si>
  <si>
    <t>P-x4_02m-Eb4.jpg</t>
  </si>
  <si>
    <t>P-x6-01m-Ea.jpg</t>
  </si>
  <si>
    <t>P-x6-01m-Eb.jpg</t>
  </si>
  <si>
    <t>P-x6-01m-Ec.jpg</t>
  </si>
  <si>
    <t>P-x6-04m-Ea.jpg</t>
  </si>
  <si>
    <t>P-x6-04m-Eb.jpg</t>
  </si>
  <si>
    <t>P-x6-21m-Ea.jpg</t>
  </si>
  <si>
    <t>P-x6-27m-Ea.jpg</t>
  </si>
  <si>
    <t>P-x7-01m-Eb.jpg</t>
  </si>
  <si>
    <t>P-x7-26m-Ea.jpg</t>
  </si>
  <si>
    <t>P-x7-29m-Ea.jpg</t>
  </si>
  <si>
    <t>Full_Name_rawimg</t>
  </si>
  <si>
    <t>P-03-07m-Wb.jpg</t>
  </si>
  <si>
    <t>P-06-14m-Wa-1.jpg</t>
  </si>
  <si>
    <t>P-04-13m-Ea-1.jpg</t>
  </si>
  <si>
    <t>P-03-45m-Wa-1.jpg</t>
  </si>
  <si>
    <t>P-X1-28m-Wa-1.jpg</t>
  </si>
  <si>
    <t>P-x6-27m-Ea-1.jpg</t>
  </si>
  <si>
    <t>P-x7-01m-Ea-1.jpg</t>
  </si>
  <si>
    <t>P-X6-01m_Ea-1</t>
  </si>
  <si>
    <t>Notes</t>
  </si>
  <si>
    <t>plants</t>
  </si>
  <si>
    <t>no light/plants</t>
  </si>
  <si>
    <t>plants/lighting</t>
  </si>
  <si>
    <t>suspended sediment</t>
  </si>
  <si>
    <t>lighting</t>
  </si>
  <si>
    <t>steep slope/suspended sediment</t>
  </si>
  <si>
    <t>camera tipped</t>
  </si>
  <si>
    <t>low light/suspended sediment frame tipping</t>
  </si>
  <si>
    <t>Manually_labelled</t>
  </si>
  <si>
    <t>Recheck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</si>
</sst>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0" fillId="32" borderId="0" applyNumberFormat="0" applyBorder="0" applyAlignment="0" applyProtection="0"/>
    <xf numFmtId="0" fontId="3" fillId="0" borderId="0"/>
    <xf numFmtId="0" fontId="4" fillId="0" borderId="0"/>
    <xf numFmtId="0" fontId="3" fillId="8" borderId="8" applyNumberFormat="0" applyFont="0" applyAlignment="0" applyProtection="0"/>
    <xf numFmtId="0" fontId="5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0">
    <xf numFmtId="0" fontId="0" fillId="0" borderId="0" xfId="0"/>
    <xf numFmtId="0" fontId="2" fillId="0" borderId="0" xfId="66"/>
    <xf numFmtId="0" fontId="2" fillId="0" borderId="0" xfId="66" applyAlignment="1">
      <alignment horizontal="center"/>
    </xf>
    <xf numFmtId="0" fontId="2" fillId="0" borderId="0" xfId="66"/>
    <xf numFmtId="0" fontId="2" fillId="0" borderId="0" xfId="66" applyAlignment="1">
      <alignment horizontal="center"/>
    </xf>
    <xf numFmtId="0" fontId="2" fillId="0" borderId="0" xfId="66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33" borderId="0" xfId="0" applyFill="1"/>
    <xf numFmtId="0" fontId="1" fillId="0" borderId="0" xfId="68"/>
    <xf numFmtId="0" fontId="0" fillId="0" borderId="0" xfId="0" applyAlignment="1">
      <alignment horizontal="center"/>
    </xf>
    <xf numFmtId="0" fontId="0" fillId="0" borderId="0" xfId="0"/>
  </cellXfs>
  <cellStyles count="82">
    <cellStyle name="20% - Accent1" xfId="18" builtinId="30" customBuiltin="1"/>
    <cellStyle name="20% - Accent1 2" xfId="54"/>
    <cellStyle name="20% - Accent1 3" xfId="70"/>
    <cellStyle name="20% - Accent2" xfId="22" builtinId="34" customBuiltin="1"/>
    <cellStyle name="20% - Accent2 2" xfId="56"/>
    <cellStyle name="20% - Accent2 3" xfId="72"/>
    <cellStyle name="20% - Accent3" xfId="26" builtinId="38" customBuiltin="1"/>
    <cellStyle name="20% - Accent3 2" xfId="58"/>
    <cellStyle name="20% - Accent3 3" xfId="74"/>
    <cellStyle name="20% - Accent4" xfId="30" builtinId="42" customBuiltin="1"/>
    <cellStyle name="20% - Accent4 2" xfId="60"/>
    <cellStyle name="20% - Accent4 3" xfId="76"/>
    <cellStyle name="20% - Accent5" xfId="34" builtinId="46" customBuiltin="1"/>
    <cellStyle name="20% - Accent5 2" xfId="62"/>
    <cellStyle name="20% - Accent5 3" xfId="78"/>
    <cellStyle name="20% - Accent6" xfId="38" builtinId="50" customBuiltin="1"/>
    <cellStyle name="20% - Accent6 2" xfId="64"/>
    <cellStyle name="20% - Accent6 3" xfId="80"/>
    <cellStyle name="40% - Accent1" xfId="19" builtinId="31" customBuiltin="1"/>
    <cellStyle name="40% - Accent1 2" xfId="55"/>
    <cellStyle name="40% - Accent1 3" xfId="71"/>
    <cellStyle name="40% - Accent2" xfId="23" builtinId="35" customBuiltin="1"/>
    <cellStyle name="40% - Accent2 2" xfId="57"/>
    <cellStyle name="40% - Accent2 3" xfId="73"/>
    <cellStyle name="40% - Accent3" xfId="27" builtinId="39" customBuiltin="1"/>
    <cellStyle name="40% - Accent3 2" xfId="59"/>
    <cellStyle name="40% - Accent3 3" xfId="75"/>
    <cellStyle name="40% - Accent4" xfId="31" builtinId="43" customBuiltin="1"/>
    <cellStyle name="40% - Accent4 2" xfId="61"/>
    <cellStyle name="40% - Accent4 3" xfId="77"/>
    <cellStyle name="40% - Accent5" xfId="35" builtinId="47" customBuiltin="1"/>
    <cellStyle name="40% - Accent5 2" xfId="63"/>
    <cellStyle name="40% - Accent5 3" xfId="79"/>
    <cellStyle name="40% - Accent6" xfId="39" builtinId="51" customBuiltin="1"/>
    <cellStyle name="40% - Accent6 2" xfId="65"/>
    <cellStyle name="40% - Accent6 3" xfId="81"/>
    <cellStyle name="60% - Accent1" xfId="20" builtinId="32" customBuiltin="1"/>
    <cellStyle name="60% - Accent1 2" xfId="46"/>
    <cellStyle name="60% - Accent2" xfId="24" builtinId="36" customBuiltin="1"/>
    <cellStyle name="60% - Accent2 2" xfId="47"/>
    <cellStyle name="60% - Accent3" xfId="28" builtinId="40" customBuiltin="1"/>
    <cellStyle name="60% - Accent3 2" xfId="48"/>
    <cellStyle name="60% - Accent4" xfId="32" builtinId="44" customBuiltin="1"/>
    <cellStyle name="60% - Accent4 2" xfId="49"/>
    <cellStyle name="60% - Accent5" xfId="36" builtinId="48" customBuiltin="1"/>
    <cellStyle name="60% - Accent5 2" xfId="50"/>
    <cellStyle name="60% - Accent6" xfId="40" builtinId="52" customBuiltin="1"/>
    <cellStyle name="60% - Accent6 2" xfId="5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5"/>
    <cellStyle name="Normal" xfId="0" builtinId="0"/>
    <cellStyle name="Normal 2" xfId="42"/>
    <cellStyle name="Normal 3" xfId="41"/>
    <cellStyle name="Normal 3 2" xfId="66"/>
    <cellStyle name="Normal 4" xfId="52"/>
    <cellStyle name="Normal 5" xfId="68"/>
    <cellStyle name="Note 2" xfId="43"/>
    <cellStyle name="Note 2 2" xfId="67"/>
    <cellStyle name="Note 3" xfId="53"/>
    <cellStyle name="Note 4" xfId="69"/>
    <cellStyle name="Output" xfId="10" builtinId="21" customBuiltin="1"/>
    <cellStyle name="Title" xfId="1" builtinId="15" customBuiltin="1"/>
    <cellStyle name="Title 2" xfId="44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5"/>
  <sheetViews>
    <sheetView workbookViewId="0">
      <pane ySplit="1" topLeftCell="A206" activePane="bottomLeft" state="frozen"/>
      <selection pane="bottomLeft" activeCell="F1" sqref="F1:T323"/>
    </sheetView>
  </sheetViews>
  <sheetFormatPr defaultRowHeight="15" x14ac:dyDescent="0.25"/>
  <cols>
    <col min="1" max="1" width="11.42578125" style="15" bestFit="1" customWidth="1"/>
    <col min="2" max="2" width="19" style="16" bestFit="1" customWidth="1"/>
    <col min="3" max="5" width="11.42578125" style="16" customWidth="1"/>
    <col min="6" max="7" width="11.42578125" style="15" customWidth="1"/>
    <col min="8" max="8" width="9" style="15" bestFit="1" customWidth="1"/>
    <col min="9" max="9" width="8.42578125" style="15" bestFit="1" customWidth="1"/>
    <col min="10" max="10" width="9.42578125" style="15" bestFit="1" customWidth="1"/>
    <col min="11" max="11" width="19.7109375" style="15" bestFit="1" customWidth="1"/>
    <col min="12" max="12" width="17" style="15" bestFit="1" customWidth="1"/>
    <col min="13" max="13" width="19.85546875" style="15" bestFit="1" customWidth="1"/>
    <col min="14" max="14" width="20.5703125" style="15" bestFit="1" customWidth="1"/>
    <col min="15" max="15" width="23.85546875" style="15" bestFit="1" customWidth="1"/>
    <col min="16" max="16" width="17.42578125" style="15" bestFit="1" customWidth="1"/>
    <col min="17" max="17" width="20.140625" style="15" bestFit="1" customWidth="1"/>
    <col min="18" max="18" width="20.85546875" style="15" bestFit="1" customWidth="1"/>
    <col min="19" max="19" width="24.140625" style="15" bestFit="1" customWidth="1"/>
    <col min="20" max="20" width="6.85546875" style="15" bestFit="1" customWidth="1"/>
    <col min="21" max="16384" width="9.140625" style="15"/>
  </cols>
  <sheetData>
    <row r="1" spans="1:21" customFormat="1" x14ac:dyDescent="0.25">
      <c r="A1" t="s">
        <v>0</v>
      </c>
      <c r="B1" s="16" t="s">
        <v>0</v>
      </c>
      <c r="C1" s="16"/>
      <c r="D1" s="16"/>
      <c r="E1" s="16" t="s">
        <v>807</v>
      </c>
      <c r="F1" s="15" t="s">
        <v>383</v>
      </c>
      <c r="G1" s="15" t="s">
        <v>382</v>
      </c>
      <c r="H1" t="s">
        <v>341</v>
      </c>
      <c r="I1" t="s">
        <v>343</v>
      </c>
      <c r="J1" t="s">
        <v>342</v>
      </c>
      <c r="K1" t="s">
        <v>345</v>
      </c>
      <c r="L1" t="s">
        <v>1</v>
      </c>
      <c r="M1" t="s">
        <v>346</v>
      </c>
      <c r="N1" t="s">
        <v>348</v>
      </c>
      <c r="O1" t="s">
        <v>349</v>
      </c>
      <c r="P1" t="s">
        <v>2</v>
      </c>
      <c r="Q1" t="s">
        <v>347</v>
      </c>
      <c r="R1" t="s">
        <v>350</v>
      </c>
      <c r="S1" t="s">
        <v>351</v>
      </c>
      <c r="T1" t="s">
        <v>3</v>
      </c>
      <c r="U1" t="s">
        <v>384</v>
      </c>
    </row>
    <row r="2" spans="1:21" customFormat="1" x14ac:dyDescent="0.25">
      <c r="A2" s="15" t="s">
        <v>4</v>
      </c>
      <c r="B2" s="16"/>
      <c r="C2" s="16"/>
      <c r="D2" s="16"/>
      <c r="E2" s="16"/>
      <c r="F2" s="17">
        <v>-76.426282</v>
      </c>
      <c r="G2" s="17">
        <v>42.934336999999999</v>
      </c>
      <c r="H2" s="15">
        <v>3</v>
      </c>
      <c r="I2" s="15" t="s">
        <v>358</v>
      </c>
      <c r="J2" s="15" t="s">
        <v>359</v>
      </c>
      <c r="K2" s="15">
        <v>196</v>
      </c>
      <c r="L2" s="15">
        <v>17</v>
      </c>
      <c r="M2" s="15">
        <v>0</v>
      </c>
      <c r="N2" s="15" t="s">
        <v>352</v>
      </c>
      <c r="O2" s="15" t="s">
        <v>353</v>
      </c>
      <c r="P2" s="15"/>
      <c r="Q2" s="15"/>
      <c r="R2" s="15"/>
      <c r="S2" s="15"/>
      <c r="T2" s="15">
        <v>27</v>
      </c>
      <c r="U2" t="str">
        <f>IF(OR(Q2&lt;&gt;"", M2&lt;&gt;""), "Y", "")</f>
        <v>Y</v>
      </c>
    </row>
    <row r="3" spans="1:21" customFormat="1" x14ac:dyDescent="0.25">
      <c r="A3" t="s">
        <v>5</v>
      </c>
      <c r="B3" s="16"/>
      <c r="C3" s="16"/>
      <c r="D3" s="16"/>
      <c r="E3" s="16"/>
      <c r="F3" s="17">
        <v>-76.425749999999994</v>
      </c>
      <c r="G3" s="17">
        <v>42.934244</v>
      </c>
      <c r="H3">
        <v>3</v>
      </c>
      <c r="I3" t="s">
        <v>358</v>
      </c>
      <c r="J3" t="s">
        <v>360</v>
      </c>
      <c r="K3">
        <v>206</v>
      </c>
      <c r="L3">
        <v>16</v>
      </c>
      <c r="M3">
        <v>0</v>
      </c>
      <c r="N3" t="s">
        <v>352</v>
      </c>
      <c r="O3" t="s">
        <v>354</v>
      </c>
      <c r="R3" s="6"/>
      <c r="S3" s="6"/>
      <c r="T3">
        <v>89</v>
      </c>
      <c r="U3" s="14" t="str">
        <f t="shared" ref="U3:U66" si="0">IF(OR(Q3&lt;&gt;"", M3&lt;&gt;""), "Y", "")</f>
        <v>Y</v>
      </c>
    </row>
    <row r="4" spans="1:21" customFormat="1" x14ac:dyDescent="0.25">
      <c r="A4" t="s">
        <v>6</v>
      </c>
      <c r="B4" s="16"/>
      <c r="C4" s="16"/>
      <c r="D4" s="16"/>
      <c r="E4" s="16"/>
      <c r="F4" s="17">
        <v>-76.415673999999996</v>
      </c>
      <c r="G4" s="17">
        <v>42.934573999999998</v>
      </c>
      <c r="H4">
        <v>5</v>
      </c>
      <c r="I4" t="s">
        <v>358</v>
      </c>
      <c r="J4" t="s">
        <v>359</v>
      </c>
      <c r="K4">
        <v>63</v>
      </c>
      <c r="L4">
        <v>234</v>
      </c>
      <c r="M4">
        <v>1</v>
      </c>
      <c r="N4" t="s">
        <v>352</v>
      </c>
      <c r="O4" t="s">
        <v>355</v>
      </c>
      <c r="R4" s="6"/>
      <c r="S4" s="6"/>
      <c r="T4">
        <v>11</v>
      </c>
      <c r="U4" s="14" t="str">
        <f t="shared" si="0"/>
        <v>Y</v>
      </c>
    </row>
    <row r="5" spans="1:21" customFormat="1" x14ac:dyDescent="0.25">
      <c r="A5" t="s">
        <v>7</v>
      </c>
      <c r="B5" s="16"/>
      <c r="C5" s="16"/>
      <c r="D5" s="16"/>
      <c r="E5" s="16"/>
      <c r="F5" s="17">
        <v>-76.422425000000004</v>
      </c>
      <c r="G5" s="17">
        <v>42.934502000000002</v>
      </c>
      <c r="H5">
        <v>5</v>
      </c>
      <c r="I5" t="s">
        <v>358</v>
      </c>
      <c r="J5" t="s">
        <v>359</v>
      </c>
      <c r="K5">
        <v>350</v>
      </c>
      <c r="L5">
        <v>124</v>
      </c>
      <c r="M5">
        <v>1</v>
      </c>
      <c r="N5" t="s">
        <v>352</v>
      </c>
      <c r="O5" t="s">
        <v>355</v>
      </c>
      <c r="R5" s="6"/>
      <c r="S5" s="6"/>
      <c r="T5">
        <v>48</v>
      </c>
      <c r="U5" s="14" t="str">
        <f t="shared" si="0"/>
        <v>Y</v>
      </c>
    </row>
    <row r="6" spans="1:21" customFormat="1" x14ac:dyDescent="0.25">
      <c r="A6" t="s">
        <v>8</v>
      </c>
      <c r="B6" s="16"/>
      <c r="C6" s="16"/>
      <c r="D6" s="16"/>
      <c r="E6" s="16"/>
      <c r="F6" s="17">
        <v>-76.422658999999996</v>
      </c>
      <c r="G6" s="17">
        <v>42.934376</v>
      </c>
      <c r="H6">
        <v>5</v>
      </c>
      <c r="I6" t="s">
        <v>358</v>
      </c>
      <c r="J6" t="s">
        <v>360</v>
      </c>
      <c r="K6">
        <v>219</v>
      </c>
      <c r="L6">
        <v>0</v>
      </c>
      <c r="M6">
        <v>0</v>
      </c>
      <c r="N6" t="s">
        <v>352</v>
      </c>
      <c r="O6" t="s">
        <v>356</v>
      </c>
      <c r="R6" s="6"/>
      <c r="S6" s="6"/>
      <c r="T6">
        <v>71</v>
      </c>
      <c r="U6" s="14" t="str">
        <f t="shared" si="0"/>
        <v>Y</v>
      </c>
    </row>
    <row r="7" spans="1:21" customFormat="1" x14ac:dyDescent="0.25">
      <c r="A7" t="s">
        <v>9</v>
      </c>
      <c r="B7" s="16"/>
      <c r="C7" s="16"/>
      <c r="D7" s="16"/>
      <c r="E7" s="16"/>
      <c r="F7" s="17">
        <v>-76.416133000000002</v>
      </c>
      <c r="G7" s="17">
        <v>42.934376</v>
      </c>
      <c r="H7">
        <v>6</v>
      </c>
      <c r="I7" t="s">
        <v>358</v>
      </c>
      <c r="J7" t="s">
        <v>359</v>
      </c>
      <c r="K7">
        <v>160</v>
      </c>
      <c r="L7">
        <v>186</v>
      </c>
      <c r="M7">
        <v>2</v>
      </c>
      <c r="N7" t="s">
        <v>352</v>
      </c>
      <c r="O7" t="s">
        <v>355</v>
      </c>
      <c r="R7" s="6"/>
      <c r="S7" s="6"/>
      <c r="T7">
        <v>191</v>
      </c>
      <c r="U7" s="14" t="str">
        <f t="shared" si="0"/>
        <v>Y</v>
      </c>
    </row>
    <row r="8" spans="1:21" customFormat="1" x14ac:dyDescent="0.25">
      <c r="A8" t="s">
        <v>248</v>
      </c>
      <c r="B8" s="16" t="s">
        <v>572</v>
      </c>
      <c r="C8" s="16" t="str">
        <f>UPPER(RIGHT(B8,9))</f>
        <v>02-01M-WA</v>
      </c>
      <c r="D8" s="16" t="b">
        <f>IF(B8="","",C8=A8)</f>
        <v>1</v>
      </c>
      <c r="E8" s="16">
        <v>87</v>
      </c>
      <c r="F8" s="17">
        <v>-76.427786999999995</v>
      </c>
      <c r="G8" s="17">
        <v>42.920411000000001</v>
      </c>
      <c r="H8">
        <v>1</v>
      </c>
      <c r="I8" t="s">
        <v>369</v>
      </c>
      <c r="J8" t="s">
        <v>359</v>
      </c>
      <c r="P8">
        <v>104</v>
      </c>
      <c r="Q8">
        <v>2</v>
      </c>
      <c r="R8" s="6" t="s">
        <v>357</v>
      </c>
      <c r="S8" s="6" t="s">
        <v>355</v>
      </c>
      <c r="U8" s="14" t="str">
        <f t="shared" si="0"/>
        <v>Y</v>
      </c>
    </row>
    <row r="9" spans="1:21" customFormat="1" x14ac:dyDescent="0.25">
      <c r="A9" t="s">
        <v>249</v>
      </c>
      <c r="B9" s="16" t="s">
        <v>573</v>
      </c>
      <c r="C9" s="16" t="str">
        <f t="shared" ref="C9:C70" si="1">UPPER(RIGHT(B9,9))</f>
        <v>02-01M-WB</v>
      </c>
      <c r="D9" s="16" t="b">
        <f t="shared" ref="D9:D38" si="2">IF(B9="","",C9=A9)</f>
        <v>1</v>
      </c>
      <c r="E9" s="16">
        <v>101</v>
      </c>
      <c r="F9" s="17">
        <v>-76.427786999999995</v>
      </c>
      <c r="G9" s="17">
        <v>42.920411000000001</v>
      </c>
      <c r="H9">
        <v>1</v>
      </c>
      <c r="I9" t="s">
        <v>369</v>
      </c>
      <c r="J9" t="s">
        <v>360</v>
      </c>
      <c r="P9">
        <v>105</v>
      </c>
      <c r="Q9">
        <v>2</v>
      </c>
      <c r="R9" s="6" t="s">
        <v>357</v>
      </c>
      <c r="S9" s="6" t="s">
        <v>355</v>
      </c>
      <c r="U9" s="14" t="str">
        <f t="shared" si="0"/>
        <v>Y</v>
      </c>
    </row>
    <row r="10" spans="1:21" customFormat="1" x14ac:dyDescent="0.25">
      <c r="A10" t="s">
        <v>250</v>
      </c>
      <c r="B10" s="16" t="s">
        <v>574</v>
      </c>
      <c r="C10" s="16" t="str">
        <f t="shared" si="1"/>
        <v>02-01M-WC</v>
      </c>
      <c r="D10" s="16" t="b">
        <f t="shared" si="2"/>
        <v>1</v>
      </c>
      <c r="E10" s="16">
        <v>173</v>
      </c>
      <c r="F10" s="17">
        <v>-76.427786999999995</v>
      </c>
      <c r="G10" s="17">
        <v>42.920411000000001</v>
      </c>
      <c r="H10">
        <v>1</v>
      </c>
      <c r="I10" t="s">
        <v>369</v>
      </c>
      <c r="J10" t="s">
        <v>366</v>
      </c>
      <c r="P10">
        <v>184</v>
      </c>
      <c r="Q10">
        <v>2</v>
      </c>
      <c r="R10" s="6" t="s">
        <v>357</v>
      </c>
      <c r="S10" s="6" t="s">
        <v>355</v>
      </c>
      <c r="U10" s="14" t="str">
        <f t="shared" si="0"/>
        <v>Y</v>
      </c>
    </row>
    <row r="11" spans="1:21" customFormat="1" x14ac:dyDescent="0.25">
      <c r="A11" t="s">
        <v>87</v>
      </c>
      <c r="B11" s="16" t="s">
        <v>575</v>
      </c>
      <c r="C11" s="16" t="str">
        <f t="shared" si="1"/>
        <v>02-02M-EA</v>
      </c>
      <c r="D11" s="16" t="b">
        <f t="shared" si="2"/>
        <v>1</v>
      </c>
      <c r="E11" s="16">
        <v>287</v>
      </c>
      <c r="F11" s="17">
        <v>-76.406976</v>
      </c>
      <c r="G11" s="17">
        <v>42.922662000000003</v>
      </c>
      <c r="H11">
        <v>2</v>
      </c>
      <c r="I11" t="s">
        <v>369</v>
      </c>
      <c r="J11" t="s">
        <v>359</v>
      </c>
      <c r="P11">
        <v>231</v>
      </c>
      <c r="Q11">
        <v>2</v>
      </c>
      <c r="R11" s="6" t="s">
        <v>357</v>
      </c>
      <c r="S11" s="6" t="s">
        <v>355</v>
      </c>
      <c r="T11">
        <v>16</v>
      </c>
      <c r="U11" s="14" t="str">
        <f t="shared" si="0"/>
        <v>Y</v>
      </c>
    </row>
    <row r="12" spans="1:21" customFormat="1" x14ac:dyDescent="0.25">
      <c r="A12" t="s">
        <v>251</v>
      </c>
      <c r="B12" s="16" t="s">
        <v>576</v>
      </c>
      <c r="C12" s="16" t="str">
        <f t="shared" si="1"/>
        <v>02-02M-EB</v>
      </c>
      <c r="D12" s="16" t="b">
        <f t="shared" si="2"/>
        <v>1</v>
      </c>
      <c r="E12" s="16">
        <v>109</v>
      </c>
      <c r="F12" s="17">
        <v>-76.406976</v>
      </c>
      <c r="G12" s="17">
        <v>42.922662000000003</v>
      </c>
      <c r="H12">
        <v>2</v>
      </c>
      <c r="I12" t="s">
        <v>369</v>
      </c>
      <c r="J12" t="s">
        <v>360</v>
      </c>
      <c r="P12">
        <v>131</v>
      </c>
      <c r="Q12">
        <v>1</v>
      </c>
      <c r="R12" s="6" t="s">
        <v>357</v>
      </c>
      <c r="S12" s="6" t="s">
        <v>354</v>
      </c>
      <c r="U12" s="14" t="str">
        <f t="shared" si="0"/>
        <v>Y</v>
      </c>
    </row>
    <row r="13" spans="1:21" customFormat="1" x14ac:dyDescent="0.25">
      <c r="A13" t="s">
        <v>88</v>
      </c>
      <c r="B13" s="16"/>
      <c r="C13" s="16"/>
      <c r="D13" s="16" t="str">
        <f t="shared" si="2"/>
        <v/>
      </c>
      <c r="E13" s="16"/>
      <c r="F13" s="17">
        <v>-76.427498999999997</v>
      </c>
      <c r="G13" s="17">
        <v>42.920397999999999</v>
      </c>
      <c r="H13">
        <v>2</v>
      </c>
      <c r="I13" t="s">
        <v>369</v>
      </c>
      <c r="J13" t="s">
        <v>359</v>
      </c>
      <c r="P13">
        <v>0</v>
      </c>
      <c r="Q13">
        <v>0</v>
      </c>
      <c r="R13" s="6" t="s">
        <v>352</v>
      </c>
      <c r="S13" s="6" t="s">
        <v>356</v>
      </c>
      <c r="T13">
        <v>140</v>
      </c>
      <c r="U13" s="14" t="str">
        <f t="shared" si="0"/>
        <v>Y</v>
      </c>
    </row>
    <row r="14" spans="1:21" customFormat="1" x14ac:dyDescent="0.25">
      <c r="A14" t="s">
        <v>317</v>
      </c>
      <c r="B14" s="16"/>
      <c r="C14" s="16"/>
      <c r="D14" s="16" t="str">
        <f t="shared" si="2"/>
        <v/>
      </c>
      <c r="E14" s="16"/>
      <c r="F14" s="17">
        <v>-76.427498999999997</v>
      </c>
      <c r="G14" s="17">
        <v>42.920397999999999</v>
      </c>
      <c r="H14">
        <v>2</v>
      </c>
      <c r="I14" t="s">
        <v>369</v>
      </c>
      <c r="J14" t="s">
        <v>360</v>
      </c>
      <c r="P14">
        <v>0</v>
      </c>
      <c r="Q14">
        <v>0</v>
      </c>
      <c r="R14" s="6" t="s">
        <v>352</v>
      </c>
      <c r="S14" s="6" t="s">
        <v>378</v>
      </c>
      <c r="U14" s="14" t="str">
        <f t="shared" si="0"/>
        <v>Y</v>
      </c>
    </row>
    <row r="15" spans="1:21" customFormat="1" x14ac:dyDescent="0.25">
      <c r="A15" t="s">
        <v>318</v>
      </c>
      <c r="B15" s="16" t="s">
        <v>577</v>
      </c>
      <c r="C15" s="16" t="str">
        <f t="shared" si="1"/>
        <v>02-03M-EA</v>
      </c>
      <c r="D15" s="16" t="b">
        <f t="shared" si="2"/>
        <v>1</v>
      </c>
      <c r="E15" s="16">
        <v>76</v>
      </c>
      <c r="F15" s="17">
        <v>-76.410066999999998</v>
      </c>
      <c r="G15" s="17">
        <v>42.922925999999997</v>
      </c>
      <c r="H15">
        <v>3</v>
      </c>
      <c r="I15" t="s">
        <v>369</v>
      </c>
      <c r="J15" t="s">
        <v>359</v>
      </c>
      <c r="P15">
        <v>86</v>
      </c>
      <c r="Q15">
        <v>0</v>
      </c>
      <c r="R15" s="6" t="s">
        <v>352</v>
      </c>
      <c r="S15" s="6" t="s">
        <v>353</v>
      </c>
      <c r="U15" s="14" t="str">
        <f t="shared" si="0"/>
        <v>Y</v>
      </c>
    </row>
    <row r="16" spans="1:21" customFormat="1" x14ac:dyDescent="0.25">
      <c r="A16" t="s">
        <v>252</v>
      </c>
      <c r="B16" s="16" t="s">
        <v>578</v>
      </c>
      <c r="C16" s="16" t="str">
        <f t="shared" si="1"/>
        <v>02-03M-EB</v>
      </c>
      <c r="D16" s="16" t="b">
        <f t="shared" si="2"/>
        <v>1</v>
      </c>
      <c r="E16" s="16">
        <v>99</v>
      </c>
      <c r="F16" s="17">
        <v>-76.410066999999998</v>
      </c>
      <c r="G16" s="17">
        <v>42.922925999999997</v>
      </c>
      <c r="H16">
        <v>3</v>
      </c>
      <c r="I16" t="s">
        <v>369</v>
      </c>
      <c r="J16" t="s">
        <v>360</v>
      </c>
      <c r="P16">
        <v>91</v>
      </c>
      <c r="Q16">
        <v>0</v>
      </c>
      <c r="R16" s="6" t="s">
        <v>352</v>
      </c>
      <c r="S16" s="6" t="s">
        <v>354</v>
      </c>
      <c r="U16" s="14" t="str">
        <f t="shared" si="0"/>
        <v>Y</v>
      </c>
    </row>
    <row r="17" spans="1:21" customFormat="1" x14ac:dyDescent="0.25">
      <c r="A17" t="s">
        <v>89</v>
      </c>
      <c r="B17" s="16" t="s">
        <v>579</v>
      </c>
      <c r="C17" s="16" t="str">
        <f t="shared" si="1"/>
        <v>02-03M-WA</v>
      </c>
      <c r="D17" s="16" t="b">
        <f t="shared" si="2"/>
        <v>1</v>
      </c>
      <c r="E17" s="16">
        <v>36</v>
      </c>
      <c r="F17" s="17">
        <v>-76.427256</v>
      </c>
      <c r="G17" s="17">
        <v>42.920575999999997</v>
      </c>
      <c r="H17">
        <v>3</v>
      </c>
      <c r="I17" t="s">
        <v>369</v>
      </c>
      <c r="J17" t="s">
        <v>359</v>
      </c>
      <c r="P17">
        <v>56</v>
      </c>
      <c r="Q17">
        <v>0</v>
      </c>
      <c r="R17" s="6" t="s">
        <v>352</v>
      </c>
      <c r="S17" s="6" t="s">
        <v>353</v>
      </c>
      <c r="T17">
        <v>31</v>
      </c>
      <c r="U17" s="14" t="str">
        <f t="shared" si="0"/>
        <v>Y</v>
      </c>
    </row>
    <row r="18" spans="1:21" customFormat="1" x14ac:dyDescent="0.25">
      <c r="A18" t="s">
        <v>319</v>
      </c>
      <c r="B18" s="16" t="s">
        <v>580</v>
      </c>
      <c r="C18" s="16" t="str">
        <f t="shared" si="1"/>
        <v>02-03M-WB</v>
      </c>
      <c r="D18" s="16" t="b">
        <f t="shared" si="2"/>
        <v>1</v>
      </c>
      <c r="E18" s="16">
        <v>58</v>
      </c>
      <c r="F18" s="17">
        <v>-76.427256</v>
      </c>
      <c r="G18" s="17">
        <v>42.920575999999997</v>
      </c>
      <c r="H18">
        <v>3</v>
      </c>
      <c r="I18" t="s">
        <v>369</v>
      </c>
      <c r="J18" t="s">
        <v>360</v>
      </c>
      <c r="P18">
        <v>54</v>
      </c>
      <c r="Q18">
        <v>0</v>
      </c>
      <c r="R18" s="6" t="s">
        <v>352</v>
      </c>
      <c r="S18" s="6" t="s">
        <v>353</v>
      </c>
      <c r="U18" s="14" t="str">
        <f t="shared" si="0"/>
        <v>Y</v>
      </c>
    </row>
    <row r="19" spans="1:21" customFormat="1" x14ac:dyDescent="0.25">
      <c r="A19" t="s">
        <v>253</v>
      </c>
      <c r="B19" s="16" t="s">
        <v>581</v>
      </c>
      <c r="C19" s="16" t="str">
        <f t="shared" si="1"/>
        <v>02-05M-EA</v>
      </c>
      <c r="D19" s="16" t="b">
        <f t="shared" si="2"/>
        <v>1</v>
      </c>
      <c r="E19" s="16">
        <v>64</v>
      </c>
      <c r="F19" s="17">
        <v>-76.413158999999993</v>
      </c>
      <c r="G19" s="17">
        <v>42.922714999999997</v>
      </c>
      <c r="H19">
        <v>5</v>
      </c>
      <c r="I19" t="s">
        <v>369</v>
      </c>
      <c r="J19" t="s">
        <v>359</v>
      </c>
      <c r="P19">
        <v>221</v>
      </c>
      <c r="Q19">
        <v>1</v>
      </c>
      <c r="R19" s="6" t="s">
        <v>352</v>
      </c>
      <c r="S19" s="6" t="s">
        <v>355</v>
      </c>
      <c r="U19" s="14" t="str">
        <f t="shared" si="0"/>
        <v>Y</v>
      </c>
    </row>
    <row r="20" spans="1:21" customFormat="1" x14ac:dyDescent="0.25">
      <c r="A20" t="s">
        <v>254</v>
      </c>
      <c r="B20" s="16" t="s">
        <v>582</v>
      </c>
      <c r="C20" s="16" t="str">
        <f t="shared" si="1"/>
        <v>02-05M-EB</v>
      </c>
      <c r="D20" s="16" t="b">
        <f t="shared" si="2"/>
        <v>1</v>
      </c>
      <c r="E20" s="16">
        <v>296</v>
      </c>
      <c r="F20" s="17">
        <v>-76.413158999999993</v>
      </c>
      <c r="G20" s="17">
        <v>42.922714999999997</v>
      </c>
      <c r="H20">
        <v>5</v>
      </c>
      <c r="I20" t="s">
        <v>369</v>
      </c>
      <c r="J20" t="s">
        <v>360</v>
      </c>
      <c r="P20">
        <v>44</v>
      </c>
      <c r="Q20">
        <v>1</v>
      </c>
      <c r="R20" s="6" t="s">
        <v>352</v>
      </c>
      <c r="S20" s="6" t="s">
        <v>355</v>
      </c>
      <c r="U20" s="14" t="str">
        <f t="shared" si="0"/>
        <v>Y</v>
      </c>
    </row>
    <row r="21" spans="1:21" customFormat="1" x14ac:dyDescent="0.25">
      <c r="A21" t="s">
        <v>255</v>
      </c>
      <c r="B21" s="16" t="s">
        <v>583</v>
      </c>
      <c r="C21" s="16" t="str">
        <f t="shared" si="1"/>
        <v>02-05M-EC</v>
      </c>
      <c r="D21" s="16" t="b">
        <f t="shared" si="2"/>
        <v>1</v>
      </c>
      <c r="E21" s="16">
        <v>46</v>
      </c>
      <c r="F21" s="17">
        <v>-76.413158999999993</v>
      </c>
      <c r="G21" s="17">
        <v>42.922714999999997</v>
      </c>
      <c r="H21">
        <v>5</v>
      </c>
      <c r="I21" t="s">
        <v>369</v>
      </c>
      <c r="J21" t="s">
        <v>366</v>
      </c>
      <c r="P21">
        <v>41</v>
      </c>
      <c r="Q21">
        <v>0</v>
      </c>
      <c r="R21" s="6" t="s">
        <v>352</v>
      </c>
      <c r="S21" s="6" t="s">
        <v>356</v>
      </c>
      <c r="U21" s="14" t="str">
        <f t="shared" si="0"/>
        <v>Y</v>
      </c>
    </row>
    <row r="22" spans="1:21" customFormat="1" x14ac:dyDescent="0.25">
      <c r="A22" t="s">
        <v>256</v>
      </c>
      <c r="B22" s="16" t="s">
        <v>584</v>
      </c>
      <c r="C22" s="16" t="str">
        <f t="shared" si="1"/>
        <v>02-05M-ED</v>
      </c>
      <c r="D22" s="16" t="b">
        <f t="shared" si="2"/>
        <v>1</v>
      </c>
      <c r="E22" s="16">
        <v>336</v>
      </c>
      <c r="F22" s="17">
        <v>-76.413158999999993</v>
      </c>
      <c r="G22" s="17">
        <v>42.922714999999997</v>
      </c>
      <c r="H22">
        <v>5</v>
      </c>
      <c r="I22" t="s">
        <v>369</v>
      </c>
      <c r="J22" t="s">
        <v>370</v>
      </c>
      <c r="P22">
        <v>342</v>
      </c>
      <c r="Q22">
        <v>1</v>
      </c>
      <c r="R22" s="6" t="s">
        <v>352</v>
      </c>
      <c r="S22" s="6" t="s">
        <v>355</v>
      </c>
      <c r="U22" s="14" t="str">
        <f t="shared" si="0"/>
        <v>Y</v>
      </c>
    </row>
    <row r="23" spans="1:21" customFormat="1" x14ac:dyDescent="0.25">
      <c r="A23" t="s">
        <v>90</v>
      </c>
      <c r="B23" s="16"/>
      <c r="C23" s="16"/>
      <c r="D23" s="16" t="str">
        <f t="shared" si="2"/>
        <v/>
      </c>
      <c r="E23" s="16"/>
      <c r="F23" s="17">
        <v>-76.426877000000005</v>
      </c>
      <c r="G23" s="17">
        <v>42.920867000000001</v>
      </c>
      <c r="H23">
        <v>5</v>
      </c>
      <c r="I23" t="s">
        <v>369</v>
      </c>
      <c r="J23" t="s">
        <v>359</v>
      </c>
      <c r="P23">
        <v>0</v>
      </c>
      <c r="Q23">
        <v>0</v>
      </c>
      <c r="R23" s="6" t="s">
        <v>352</v>
      </c>
      <c r="S23" s="6" t="s">
        <v>356</v>
      </c>
      <c r="T23">
        <v>600</v>
      </c>
      <c r="U23" s="14" t="str">
        <f t="shared" si="0"/>
        <v>Y</v>
      </c>
    </row>
    <row r="24" spans="1:21" customFormat="1" x14ac:dyDescent="0.25">
      <c r="A24" t="s">
        <v>320</v>
      </c>
      <c r="B24" s="16"/>
      <c r="C24" s="16"/>
      <c r="D24" s="16" t="str">
        <f t="shared" si="2"/>
        <v/>
      </c>
      <c r="E24" s="16"/>
      <c r="F24" s="17">
        <v>-76.426877000000005</v>
      </c>
      <c r="G24" s="17">
        <v>42.920867000000001</v>
      </c>
      <c r="H24">
        <v>5</v>
      </c>
      <c r="I24" t="s">
        <v>369</v>
      </c>
      <c r="J24" t="s">
        <v>360</v>
      </c>
      <c r="P24">
        <v>0</v>
      </c>
      <c r="Q24">
        <v>1</v>
      </c>
      <c r="R24" s="6" t="s">
        <v>352</v>
      </c>
      <c r="S24" s="6" t="s">
        <v>378</v>
      </c>
      <c r="U24" s="14" t="str">
        <f t="shared" si="0"/>
        <v>Y</v>
      </c>
    </row>
    <row r="25" spans="1:21" customFormat="1" x14ac:dyDescent="0.25">
      <c r="A25" t="s">
        <v>91</v>
      </c>
      <c r="B25" s="16"/>
      <c r="C25" s="16"/>
      <c r="D25" s="16" t="str">
        <f t="shared" si="2"/>
        <v/>
      </c>
      <c r="E25" s="16"/>
      <c r="F25" s="17">
        <v>-76.413816999999995</v>
      </c>
      <c r="G25" s="17">
        <v>42.922899000000001</v>
      </c>
      <c r="H25">
        <v>8</v>
      </c>
      <c r="I25" t="s">
        <v>369</v>
      </c>
      <c r="J25" t="s">
        <v>359</v>
      </c>
      <c r="P25">
        <v>0</v>
      </c>
      <c r="Q25">
        <v>0</v>
      </c>
      <c r="R25" s="6" t="s">
        <v>352</v>
      </c>
      <c r="S25" s="6" t="s">
        <v>356</v>
      </c>
      <c r="T25">
        <v>996</v>
      </c>
      <c r="U25" s="14" t="str">
        <f t="shared" si="0"/>
        <v>Y</v>
      </c>
    </row>
    <row r="26" spans="1:21" customFormat="1" x14ac:dyDescent="0.25">
      <c r="A26" t="s">
        <v>321</v>
      </c>
      <c r="B26" s="16"/>
      <c r="C26" s="16"/>
      <c r="D26" s="16" t="str">
        <f t="shared" si="2"/>
        <v/>
      </c>
      <c r="E26" s="16"/>
      <c r="F26" s="17">
        <v>-76.413816999999995</v>
      </c>
      <c r="G26" s="17">
        <v>42.922899000000001</v>
      </c>
      <c r="H26">
        <v>8</v>
      </c>
      <c r="I26" t="s">
        <v>369</v>
      </c>
      <c r="J26" t="s">
        <v>360</v>
      </c>
      <c r="P26">
        <v>0</v>
      </c>
      <c r="Q26">
        <v>0</v>
      </c>
      <c r="R26" s="6" t="s">
        <v>352</v>
      </c>
      <c r="S26" s="6" t="s">
        <v>378</v>
      </c>
      <c r="U26" s="14" t="str">
        <f t="shared" si="0"/>
        <v>Y</v>
      </c>
    </row>
    <row r="27" spans="1:21" customFormat="1" x14ac:dyDescent="0.25">
      <c r="A27" t="s">
        <v>92</v>
      </c>
      <c r="B27" s="16" t="s">
        <v>585</v>
      </c>
      <c r="C27" s="16" t="str">
        <f t="shared" si="1"/>
        <v>02-08M-WA</v>
      </c>
      <c r="D27" s="16" t="b">
        <f t="shared" si="2"/>
        <v>1</v>
      </c>
      <c r="E27" s="16">
        <v>183</v>
      </c>
      <c r="F27" s="17">
        <v>-76.426507999999998</v>
      </c>
      <c r="G27" s="17">
        <v>42.921123999999999</v>
      </c>
      <c r="H27">
        <v>8</v>
      </c>
      <c r="I27" t="s">
        <v>369</v>
      </c>
      <c r="J27" t="s">
        <v>359</v>
      </c>
      <c r="P27">
        <v>192</v>
      </c>
      <c r="Q27">
        <v>1</v>
      </c>
      <c r="R27" s="6" t="s">
        <v>352</v>
      </c>
      <c r="S27" s="6" t="s">
        <v>355</v>
      </c>
      <c r="T27">
        <v>145</v>
      </c>
      <c r="U27" s="14" t="str">
        <f t="shared" si="0"/>
        <v>Y</v>
      </c>
    </row>
    <row r="28" spans="1:21" customFormat="1" x14ac:dyDescent="0.25">
      <c r="A28" t="s">
        <v>257</v>
      </c>
      <c r="B28" s="16" t="s">
        <v>586</v>
      </c>
      <c r="C28" s="16" t="str">
        <f t="shared" si="1"/>
        <v>02-08M-WB</v>
      </c>
      <c r="D28" s="16" t="b">
        <f t="shared" si="2"/>
        <v>1</v>
      </c>
      <c r="E28" s="16">
        <v>61</v>
      </c>
      <c r="F28" s="17">
        <v>-76.426507999999998</v>
      </c>
      <c r="G28" s="17">
        <v>42.921123999999999</v>
      </c>
      <c r="H28">
        <v>8</v>
      </c>
      <c r="I28" t="s">
        <v>369</v>
      </c>
      <c r="J28" t="s">
        <v>360</v>
      </c>
      <c r="P28">
        <v>99</v>
      </c>
      <c r="Q28">
        <v>1</v>
      </c>
      <c r="R28" s="6" t="s">
        <v>352</v>
      </c>
      <c r="S28" s="6" t="s">
        <v>355</v>
      </c>
      <c r="U28" s="14" t="str">
        <f t="shared" si="0"/>
        <v>Y</v>
      </c>
    </row>
    <row r="29" spans="1:21" customFormat="1" x14ac:dyDescent="0.25">
      <c r="A29" t="s">
        <v>93</v>
      </c>
      <c r="B29" s="16"/>
      <c r="C29" s="16"/>
      <c r="D29" s="16" t="str">
        <f t="shared" si="2"/>
        <v/>
      </c>
      <c r="E29" s="16"/>
      <c r="F29" s="17">
        <v>-76.424533999999994</v>
      </c>
      <c r="G29" s="17">
        <v>42.922286</v>
      </c>
      <c r="H29">
        <v>10</v>
      </c>
      <c r="I29" t="s">
        <v>369</v>
      </c>
      <c r="J29" t="s">
        <v>359</v>
      </c>
      <c r="P29">
        <v>0</v>
      </c>
      <c r="Q29">
        <v>0</v>
      </c>
      <c r="R29" s="6" t="s">
        <v>352</v>
      </c>
      <c r="S29" s="6" t="s">
        <v>356</v>
      </c>
      <c r="T29">
        <v>175</v>
      </c>
      <c r="U29" s="14" t="str">
        <f t="shared" si="0"/>
        <v>Y</v>
      </c>
    </row>
    <row r="30" spans="1:21" customFormat="1" x14ac:dyDescent="0.25">
      <c r="A30" t="s">
        <v>322</v>
      </c>
      <c r="B30" s="16"/>
      <c r="C30" s="16"/>
      <c r="D30" s="16" t="str">
        <f t="shared" si="2"/>
        <v/>
      </c>
      <c r="E30" s="16"/>
      <c r="F30" s="17">
        <v>-76.424533999999994</v>
      </c>
      <c r="G30" s="17">
        <v>42.922286</v>
      </c>
      <c r="H30">
        <v>10</v>
      </c>
      <c r="I30" t="s">
        <v>369</v>
      </c>
      <c r="J30" t="s">
        <v>360</v>
      </c>
      <c r="P30">
        <v>0</v>
      </c>
      <c r="Q30">
        <v>0</v>
      </c>
      <c r="R30" s="6" t="s">
        <v>352</v>
      </c>
      <c r="S30" s="6" t="s">
        <v>378</v>
      </c>
      <c r="U30" s="14" t="str">
        <f t="shared" si="0"/>
        <v>Y</v>
      </c>
    </row>
    <row r="31" spans="1:21" customFormat="1" x14ac:dyDescent="0.25">
      <c r="A31" t="s">
        <v>94</v>
      </c>
      <c r="B31" s="16" t="s">
        <v>587</v>
      </c>
      <c r="C31" s="16" t="str">
        <f t="shared" si="1"/>
        <v>02-11M-EA</v>
      </c>
      <c r="D31" s="16" t="b">
        <f t="shared" si="2"/>
        <v>1</v>
      </c>
      <c r="E31" s="16">
        <v>127</v>
      </c>
      <c r="F31" s="17">
        <v>-76.414015000000006</v>
      </c>
      <c r="G31" s="17">
        <v>42.922820000000002</v>
      </c>
      <c r="H31">
        <v>11</v>
      </c>
      <c r="I31" t="s">
        <v>369</v>
      </c>
      <c r="J31" t="s">
        <v>359</v>
      </c>
      <c r="P31">
        <v>142</v>
      </c>
      <c r="Q31">
        <v>1</v>
      </c>
      <c r="R31" s="6" t="s">
        <v>352</v>
      </c>
      <c r="S31" s="6" t="s">
        <v>355</v>
      </c>
      <c r="T31">
        <v>89</v>
      </c>
      <c r="U31" s="14" t="str">
        <f t="shared" si="0"/>
        <v>Y</v>
      </c>
    </row>
    <row r="32" spans="1:21" customFormat="1" x14ac:dyDescent="0.25">
      <c r="A32" t="s">
        <v>323</v>
      </c>
      <c r="B32" s="16" t="s">
        <v>588</v>
      </c>
      <c r="C32" s="16" t="str">
        <f t="shared" si="1"/>
        <v>02-11M-EB</v>
      </c>
      <c r="D32" s="16" t="b">
        <f t="shared" si="2"/>
        <v>1</v>
      </c>
      <c r="E32" s="16">
        <v>30</v>
      </c>
      <c r="F32" s="17">
        <v>-76.414015000000006</v>
      </c>
      <c r="G32" s="17">
        <v>42.922820000000002</v>
      </c>
      <c r="H32">
        <v>11</v>
      </c>
      <c r="I32" t="s">
        <v>369</v>
      </c>
      <c r="J32" t="s">
        <v>360</v>
      </c>
      <c r="P32">
        <v>39</v>
      </c>
      <c r="Q32">
        <v>1</v>
      </c>
      <c r="R32" s="6" t="s">
        <v>352</v>
      </c>
      <c r="S32" s="6" t="s">
        <v>355</v>
      </c>
      <c r="U32" s="14" t="str">
        <f t="shared" si="0"/>
        <v>Y</v>
      </c>
    </row>
    <row r="33" spans="1:21" customFormat="1" x14ac:dyDescent="0.25">
      <c r="A33" t="s">
        <v>95</v>
      </c>
      <c r="B33" s="16" t="s">
        <v>589</v>
      </c>
      <c r="C33" s="16" t="str">
        <f t="shared" si="1"/>
        <v>02-14M-EA</v>
      </c>
      <c r="D33" s="16" t="b">
        <f t="shared" si="2"/>
        <v>1</v>
      </c>
      <c r="E33" s="16">
        <v>14</v>
      </c>
      <c r="F33" s="17">
        <v>-76.414357999999993</v>
      </c>
      <c r="G33" s="17">
        <v>42.922820000000002</v>
      </c>
      <c r="H33">
        <v>14</v>
      </c>
      <c r="I33" t="s">
        <v>369</v>
      </c>
      <c r="J33" t="s">
        <v>359</v>
      </c>
      <c r="P33">
        <v>17</v>
      </c>
      <c r="Q33">
        <v>0</v>
      </c>
      <c r="R33" s="6" t="s">
        <v>352</v>
      </c>
      <c r="S33" s="6" t="s">
        <v>356</v>
      </c>
      <c r="T33">
        <v>61</v>
      </c>
      <c r="U33" s="14" t="str">
        <f t="shared" si="0"/>
        <v>Y</v>
      </c>
    </row>
    <row r="34" spans="1:21" customFormat="1" x14ac:dyDescent="0.25">
      <c r="A34" t="s">
        <v>324</v>
      </c>
      <c r="B34" s="16" t="s">
        <v>590</v>
      </c>
      <c r="C34" s="16" t="str">
        <f t="shared" si="1"/>
        <v>02-14M-EB</v>
      </c>
      <c r="D34" s="16" t="b">
        <f t="shared" si="2"/>
        <v>1</v>
      </c>
      <c r="E34" s="16">
        <v>28</v>
      </c>
      <c r="F34" s="17">
        <v>-76.414357999999993</v>
      </c>
      <c r="G34" s="17">
        <v>42.922820000000002</v>
      </c>
      <c r="H34">
        <v>14</v>
      </c>
      <c r="I34" t="s">
        <v>369</v>
      </c>
      <c r="J34" t="s">
        <v>360</v>
      </c>
      <c r="P34">
        <v>42</v>
      </c>
      <c r="Q34">
        <v>0</v>
      </c>
      <c r="R34" s="6" t="s">
        <v>352</v>
      </c>
      <c r="S34" s="6" t="s">
        <v>354</v>
      </c>
      <c r="U34" s="14" t="str">
        <f t="shared" si="0"/>
        <v>Y</v>
      </c>
    </row>
    <row r="35" spans="1:21" customFormat="1" x14ac:dyDescent="0.25">
      <c r="A35" t="s">
        <v>96</v>
      </c>
      <c r="B35" s="16" t="s">
        <v>591</v>
      </c>
      <c r="C35" s="16" t="str">
        <f t="shared" si="1"/>
        <v>02-14M-WA</v>
      </c>
      <c r="D35" s="16" t="b">
        <f t="shared" si="2"/>
        <v>1</v>
      </c>
      <c r="E35" s="16">
        <v>221</v>
      </c>
      <c r="F35" s="17">
        <v>-76.420936999999995</v>
      </c>
      <c r="G35" s="17">
        <v>42.922873000000003</v>
      </c>
      <c r="H35">
        <v>14</v>
      </c>
      <c r="I35" t="s">
        <v>369</v>
      </c>
      <c r="J35" t="s">
        <v>359</v>
      </c>
      <c r="P35">
        <v>182</v>
      </c>
      <c r="Q35">
        <v>2</v>
      </c>
      <c r="R35" s="6" t="s">
        <v>352</v>
      </c>
      <c r="S35" s="6" t="s">
        <v>355</v>
      </c>
      <c r="T35">
        <v>226</v>
      </c>
      <c r="U35" s="14" t="str">
        <f t="shared" si="0"/>
        <v>Y</v>
      </c>
    </row>
    <row r="36" spans="1:21" customFormat="1" x14ac:dyDescent="0.25">
      <c r="A36" t="s">
        <v>258</v>
      </c>
      <c r="B36" s="16" t="s">
        <v>592</v>
      </c>
      <c r="C36" s="16" t="str">
        <f t="shared" si="1"/>
        <v>02-14M-WB</v>
      </c>
      <c r="D36" s="16" t="b">
        <f t="shared" si="2"/>
        <v>1</v>
      </c>
      <c r="E36" s="16">
        <v>261</v>
      </c>
      <c r="F36" s="17">
        <v>-76.420936999999995</v>
      </c>
      <c r="G36" s="17">
        <v>42.922873000000003</v>
      </c>
      <c r="H36">
        <v>14</v>
      </c>
      <c r="I36" t="s">
        <v>369</v>
      </c>
      <c r="J36" t="s">
        <v>360</v>
      </c>
      <c r="P36">
        <v>204</v>
      </c>
      <c r="Q36">
        <v>2</v>
      </c>
      <c r="R36" s="6" t="s">
        <v>352</v>
      </c>
      <c r="S36" s="6" t="s">
        <v>355</v>
      </c>
      <c r="U36" s="14" t="str">
        <f t="shared" si="0"/>
        <v>Y</v>
      </c>
    </row>
    <row r="37" spans="1:21" customFormat="1" x14ac:dyDescent="0.25">
      <c r="A37" t="s">
        <v>97</v>
      </c>
      <c r="B37" s="16" t="s">
        <v>593</v>
      </c>
      <c r="C37" s="16" t="str">
        <f t="shared" si="1"/>
        <v>02-17M-EA</v>
      </c>
      <c r="D37" s="16" t="b">
        <f t="shared" si="2"/>
        <v>1</v>
      </c>
      <c r="E37" s="16">
        <v>237</v>
      </c>
      <c r="F37" s="17">
        <v>-76.414799000000002</v>
      </c>
      <c r="G37" s="17">
        <v>42.923077999999997</v>
      </c>
      <c r="H37">
        <v>17</v>
      </c>
      <c r="I37" t="s">
        <v>369</v>
      </c>
      <c r="J37" t="s">
        <v>359</v>
      </c>
      <c r="P37">
        <v>209</v>
      </c>
      <c r="Q37">
        <v>2</v>
      </c>
      <c r="R37" s="6" t="s">
        <v>352</v>
      </c>
      <c r="S37" s="6" t="s">
        <v>355</v>
      </c>
      <c r="T37">
        <v>38</v>
      </c>
      <c r="U37" s="14" t="str">
        <f t="shared" si="0"/>
        <v>Y</v>
      </c>
    </row>
    <row r="38" spans="1:21" customFormat="1" x14ac:dyDescent="0.25">
      <c r="A38" t="s">
        <v>259</v>
      </c>
      <c r="B38" s="16" t="s">
        <v>594</v>
      </c>
      <c r="C38" s="16" t="str">
        <f t="shared" si="1"/>
        <v>02-17M-EB</v>
      </c>
      <c r="D38" s="16" t="b">
        <f t="shared" si="2"/>
        <v>1</v>
      </c>
      <c r="E38" s="16">
        <v>394</v>
      </c>
      <c r="F38" s="17">
        <v>-76.414799000000002</v>
      </c>
      <c r="G38" s="17">
        <v>42.923077999999997</v>
      </c>
      <c r="H38">
        <v>17</v>
      </c>
      <c r="I38" t="s">
        <v>369</v>
      </c>
      <c r="J38" t="s">
        <v>360</v>
      </c>
      <c r="P38">
        <v>332</v>
      </c>
      <c r="Q38">
        <v>2</v>
      </c>
      <c r="R38" s="6" t="s">
        <v>352</v>
      </c>
      <c r="S38" s="6" t="s">
        <v>355</v>
      </c>
      <c r="U38" s="14" t="str">
        <f t="shared" si="0"/>
        <v>Y</v>
      </c>
    </row>
    <row r="39" spans="1:21" customFormat="1" x14ac:dyDescent="0.25">
      <c r="A39" t="s">
        <v>98</v>
      </c>
      <c r="B39" s="16" t="s">
        <v>595</v>
      </c>
      <c r="C39" s="16" t="str">
        <f t="shared" si="1"/>
        <v>02-17M-WA</v>
      </c>
      <c r="D39" s="16" t="b">
        <f t="shared" ref="D39:D104" si="3">IF(B39="","",C39=A39)</f>
        <v>1</v>
      </c>
      <c r="E39" s="16">
        <v>209</v>
      </c>
      <c r="F39" s="17">
        <v>-76.420468999999997</v>
      </c>
      <c r="G39" s="17">
        <v>42.922832999999997</v>
      </c>
      <c r="H39">
        <v>17</v>
      </c>
      <c r="I39" t="s">
        <v>369</v>
      </c>
      <c r="J39" t="s">
        <v>359</v>
      </c>
      <c r="N39" s="7"/>
      <c r="O39" s="7"/>
      <c r="P39">
        <v>159</v>
      </c>
      <c r="Q39">
        <v>2</v>
      </c>
      <c r="R39" s="6" t="s">
        <v>352</v>
      </c>
      <c r="S39" s="6" t="s">
        <v>355</v>
      </c>
      <c r="T39">
        <v>112</v>
      </c>
      <c r="U39" s="14" t="str">
        <f t="shared" si="0"/>
        <v>Y</v>
      </c>
    </row>
    <row r="40" spans="1:21" customFormat="1" x14ac:dyDescent="0.25">
      <c r="A40" t="s">
        <v>260</v>
      </c>
      <c r="B40" s="16" t="s">
        <v>596</v>
      </c>
      <c r="C40" s="16" t="str">
        <f t="shared" si="1"/>
        <v>02-17M-WB</v>
      </c>
      <c r="D40" s="16" t="b">
        <f t="shared" si="3"/>
        <v>1</v>
      </c>
      <c r="E40" s="16">
        <v>124</v>
      </c>
      <c r="F40" s="17">
        <v>-76.420468999999997</v>
      </c>
      <c r="G40" s="17">
        <v>42.922832999999997</v>
      </c>
      <c r="H40">
        <v>17</v>
      </c>
      <c r="I40" t="s">
        <v>369</v>
      </c>
      <c r="J40" t="s">
        <v>360</v>
      </c>
      <c r="N40" s="7"/>
      <c r="O40" s="7"/>
      <c r="P40">
        <v>113</v>
      </c>
      <c r="Q40">
        <v>1</v>
      </c>
      <c r="R40" s="6" t="s">
        <v>352</v>
      </c>
      <c r="S40" s="6" t="s">
        <v>355</v>
      </c>
      <c r="U40" s="14" t="str">
        <f t="shared" si="0"/>
        <v>Y</v>
      </c>
    </row>
    <row r="41" spans="1:21" customFormat="1" x14ac:dyDescent="0.25">
      <c r="A41" t="s">
        <v>99</v>
      </c>
      <c r="B41" s="16" t="s">
        <v>597</v>
      </c>
      <c r="C41" s="16" t="str">
        <f t="shared" si="1"/>
        <v>02-21M-EA</v>
      </c>
      <c r="D41" s="16" t="b">
        <f t="shared" si="3"/>
        <v>1</v>
      </c>
      <c r="E41" s="16">
        <v>224</v>
      </c>
      <c r="F41" s="17">
        <v>-76.415925999999999</v>
      </c>
      <c r="G41" s="17">
        <v>42.922840000000001</v>
      </c>
      <c r="H41">
        <v>21</v>
      </c>
      <c r="I41" t="s">
        <v>369</v>
      </c>
      <c r="J41" t="s">
        <v>359</v>
      </c>
      <c r="N41" s="7"/>
      <c r="O41" s="7"/>
      <c r="P41">
        <v>172</v>
      </c>
      <c r="Q41">
        <v>2</v>
      </c>
      <c r="R41" s="6" t="s">
        <v>352</v>
      </c>
      <c r="S41" s="6" t="s">
        <v>355</v>
      </c>
      <c r="T41">
        <v>237</v>
      </c>
      <c r="U41" s="14" t="str">
        <f t="shared" si="0"/>
        <v>Y</v>
      </c>
    </row>
    <row r="42" spans="1:21" customFormat="1" x14ac:dyDescent="0.25">
      <c r="A42" t="s">
        <v>261</v>
      </c>
      <c r="B42" s="16" t="s">
        <v>598</v>
      </c>
      <c r="C42" s="16" t="str">
        <f t="shared" si="1"/>
        <v>02-21M-EB</v>
      </c>
      <c r="D42" s="16" t="b">
        <f t="shared" si="3"/>
        <v>1</v>
      </c>
      <c r="E42" s="16">
        <v>145</v>
      </c>
      <c r="F42" s="17">
        <v>-76.415925999999999</v>
      </c>
      <c r="G42" s="17">
        <v>42.922840000000001</v>
      </c>
      <c r="H42">
        <v>21</v>
      </c>
      <c r="I42" t="s">
        <v>369</v>
      </c>
      <c r="J42" t="s">
        <v>360</v>
      </c>
      <c r="N42" s="7"/>
      <c r="O42" s="7"/>
      <c r="P42">
        <v>135</v>
      </c>
      <c r="Q42">
        <v>2</v>
      </c>
      <c r="R42" s="6" t="s">
        <v>352</v>
      </c>
      <c r="S42" s="6" t="s">
        <v>355</v>
      </c>
      <c r="U42" s="14" t="str">
        <f t="shared" si="0"/>
        <v>Y</v>
      </c>
    </row>
    <row r="43" spans="1:21" customFormat="1" x14ac:dyDescent="0.25">
      <c r="A43" t="s">
        <v>100</v>
      </c>
      <c r="B43" s="16" t="s">
        <v>599</v>
      </c>
      <c r="C43" s="16" t="str">
        <f t="shared" si="1"/>
        <v>02-24M-WA</v>
      </c>
      <c r="D43" s="16" t="b">
        <f t="shared" si="3"/>
        <v>1</v>
      </c>
      <c r="E43" s="16">
        <v>251</v>
      </c>
      <c r="F43" s="17">
        <v>-76.418719999999993</v>
      </c>
      <c r="G43" s="17">
        <v>42.922800000000002</v>
      </c>
      <c r="H43">
        <v>24</v>
      </c>
      <c r="I43" t="s">
        <v>369</v>
      </c>
      <c r="J43" t="s">
        <v>359</v>
      </c>
      <c r="N43" s="7"/>
      <c r="O43" s="7"/>
      <c r="P43">
        <v>239</v>
      </c>
      <c r="Q43">
        <v>2</v>
      </c>
      <c r="R43" s="6" t="s">
        <v>352</v>
      </c>
      <c r="S43" s="6" t="s">
        <v>355</v>
      </c>
      <c r="T43">
        <v>124</v>
      </c>
      <c r="U43" s="14" t="str">
        <f t="shared" si="0"/>
        <v>Y</v>
      </c>
    </row>
    <row r="44" spans="1:21" customFormat="1" x14ac:dyDescent="0.25">
      <c r="A44" t="s">
        <v>262</v>
      </c>
      <c r="B44" s="16" t="s">
        <v>600</v>
      </c>
      <c r="C44" s="16" t="str">
        <f t="shared" si="1"/>
        <v>02-24M-WB</v>
      </c>
      <c r="D44" s="16" t="b">
        <f t="shared" si="3"/>
        <v>1</v>
      </c>
      <c r="E44" s="16">
        <v>318</v>
      </c>
      <c r="F44" s="17">
        <v>-76.418719999999993</v>
      </c>
      <c r="G44" s="17">
        <v>42.922800000000002</v>
      </c>
      <c r="H44">
        <v>24</v>
      </c>
      <c r="I44" t="s">
        <v>369</v>
      </c>
      <c r="J44" t="s">
        <v>360</v>
      </c>
      <c r="N44" s="7"/>
      <c r="O44" s="7"/>
      <c r="P44">
        <v>295</v>
      </c>
      <c r="Q44">
        <v>2</v>
      </c>
      <c r="R44" s="6" t="s">
        <v>352</v>
      </c>
      <c r="S44" s="6" t="s">
        <v>355</v>
      </c>
      <c r="U44" s="14" t="str">
        <f t="shared" si="0"/>
        <v>Y</v>
      </c>
    </row>
    <row r="45" spans="1:21" customFormat="1" x14ac:dyDescent="0.25">
      <c r="A45" t="s">
        <v>11</v>
      </c>
      <c r="B45" s="16"/>
      <c r="C45" s="16"/>
      <c r="D45" s="16" t="str">
        <f t="shared" si="3"/>
        <v/>
      </c>
      <c r="E45" s="16"/>
      <c r="F45" s="17">
        <v>-76.346215999999998</v>
      </c>
      <c r="G45" s="17">
        <v>42.833553000000002</v>
      </c>
      <c r="H45">
        <v>1</v>
      </c>
      <c r="I45" t="s">
        <v>361</v>
      </c>
      <c r="J45" t="s">
        <v>359</v>
      </c>
      <c r="K45">
        <v>43</v>
      </c>
      <c r="L45">
        <v>31</v>
      </c>
      <c r="M45">
        <v>0</v>
      </c>
      <c r="N45" t="s">
        <v>357</v>
      </c>
      <c r="O45" t="s">
        <v>355</v>
      </c>
      <c r="R45" s="6"/>
      <c r="S45" s="6"/>
      <c r="U45" s="14" t="str">
        <f t="shared" si="0"/>
        <v>Y</v>
      </c>
    </row>
    <row r="46" spans="1:21" customFormat="1" x14ac:dyDescent="0.25">
      <c r="A46" t="s">
        <v>10</v>
      </c>
      <c r="B46" s="16"/>
      <c r="C46" s="16"/>
      <c r="D46" s="16" t="str">
        <f t="shared" si="3"/>
        <v/>
      </c>
      <c r="E46" s="16"/>
      <c r="F46" s="17">
        <v>-76.390435999999994</v>
      </c>
      <c r="G46" s="17">
        <v>42.895178999999999</v>
      </c>
      <c r="H46">
        <v>2</v>
      </c>
      <c r="I46" t="s">
        <v>361</v>
      </c>
      <c r="J46" t="s">
        <v>359</v>
      </c>
      <c r="K46">
        <v>408</v>
      </c>
      <c r="L46">
        <v>333</v>
      </c>
      <c r="M46">
        <v>1</v>
      </c>
      <c r="N46" t="s">
        <v>357</v>
      </c>
      <c r="O46" t="s">
        <v>354</v>
      </c>
      <c r="R46" s="6"/>
      <c r="S46" s="6"/>
      <c r="T46">
        <v>80</v>
      </c>
      <c r="U46" s="14" t="str">
        <f t="shared" si="0"/>
        <v>Y</v>
      </c>
    </row>
    <row r="47" spans="1:21" customFormat="1" x14ac:dyDescent="0.25">
      <c r="A47" t="s">
        <v>12</v>
      </c>
      <c r="B47" s="16"/>
      <c r="C47" s="16"/>
      <c r="D47" s="16" t="str">
        <f t="shared" si="3"/>
        <v/>
      </c>
      <c r="E47" s="16"/>
      <c r="F47" s="17">
        <v>-76.346198000000001</v>
      </c>
      <c r="G47" s="17">
        <v>42.833731999999998</v>
      </c>
      <c r="H47">
        <v>2</v>
      </c>
      <c r="I47" t="s">
        <v>361</v>
      </c>
      <c r="J47" t="s">
        <v>359</v>
      </c>
      <c r="K47">
        <v>85</v>
      </c>
      <c r="L47">
        <v>77</v>
      </c>
      <c r="M47">
        <v>2</v>
      </c>
      <c r="N47" s="8" t="s">
        <v>357</v>
      </c>
      <c r="O47" s="8" t="s">
        <v>355</v>
      </c>
      <c r="P47">
        <v>0</v>
      </c>
      <c r="Q47">
        <v>2</v>
      </c>
      <c r="R47" s="6" t="s">
        <v>352</v>
      </c>
      <c r="S47" s="6" t="s">
        <v>356</v>
      </c>
      <c r="T47">
        <v>9</v>
      </c>
      <c r="U47" s="14" t="str">
        <f t="shared" si="0"/>
        <v>Y</v>
      </c>
    </row>
    <row r="48" spans="1:21" customFormat="1" x14ac:dyDescent="0.25">
      <c r="A48" t="s">
        <v>13</v>
      </c>
      <c r="B48" s="16"/>
      <c r="C48" s="16"/>
      <c r="D48" s="16" t="str">
        <f t="shared" si="3"/>
        <v/>
      </c>
      <c r="E48" s="16"/>
      <c r="F48" s="17">
        <v>-76.346108000000001</v>
      </c>
      <c r="G48" s="17">
        <v>42.833632999999999</v>
      </c>
      <c r="H48">
        <v>2</v>
      </c>
      <c r="I48" t="s">
        <v>361</v>
      </c>
      <c r="J48" t="s">
        <v>360</v>
      </c>
      <c r="K48">
        <v>5</v>
      </c>
      <c r="L48">
        <v>10</v>
      </c>
      <c r="M48">
        <v>1</v>
      </c>
      <c r="N48" s="8" t="s">
        <v>357</v>
      </c>
      <c r="O48" s="8" t="s">
        <v>355</v>
      </c>
      <c r="P48">
        <v>0</v>
      </c>
      <c r="Q48">
        <v>2</v>
      </c>
      <c r="R48" s="6" t="s">
        <v>352</v>
      </c>
      <c r="S48" s="6" t="s">
        <v>356</v>
      </c>
      <c r="U48" s="14" t="str">
        <f t="shared" si="0"/>
        <v>Y</v>
      </c>
    </row>
    <row r="49" spans="1:21" customFormat="1" x14ac:dyDescent="0.25">
      <c r="A49" t="s">
        <v>14</v>
      </c>
      <c r="B49" s="16"/>
      <c r="C49" s="16"/>
      <c r="D49" s="16" t="str">
        <f t="shared" si="3"/>
        <v/>
      </c>
      <c r="E49" s="16"/>
      <c r="F49" s="17">
        <v>-76.390535</v>
      </c>
      <c r="G49" s="17">
        <v>42.895093000000003</v>
      </c>
      <c r="H49">
        <v>3</v>
      </c>
      <c r="I49" t="s">
        <v>361</v>
      </c>
      <c r="J49" t="s">
        <v>359</v>
      </c>
      <c r="K49">
        <v>326</v>
      </c>
      <c r="L49">
        <v>0</v>
      </c>
      <c r="M49">
        <v>0</v>
      </c>
      <c r="N49" s="8" t="s">
        <v>352</v>
      </c>
      <c r="O49" s="8" t="s">
        <v>356</v>
      </c>
      <c r="R49" s="6"/>
      <c r="S49" s="6"/>
      <c r="T49">
        <v>24</v>
      </c>
      <c r="U49" s="14" t="str">
        <f t="shared" si="0"/>
        <v>Y</v>
      </c>
    </row>
    <row r="50" spans="1:21" customFormat="1" x14ac:dyDescent="0.25">
      <c r="A50" t="s">
        <v>15</v>
      </c>
      <c r="B50" s="16"/>
      <c r="C50" s="16"/>
      <c r="D50" s="16" t="str">
        <f t="shared" si="3"/>
        <v/>
      </c>
      <c r="E50" s="16"/>
      <c r="F50" s="17">
        <v>-76.346090000000004</v>
      </c>
      <c r="G50" s="17">
        <v>42.833731999999998</v>
      </c>
      <c r="H50">
        <v>3</v>
      </c>
      <c r="I50" t="s">
        <v>361</v>
      </c>
      <c r="J50" t="s">
        <v>359</v>
      </c>
      <c r="K50">
        <v>55</v>
      </c>
      <c r="L50">
        <v>44</v>
      </c>
      <c r="M50">
        <v>0</v>
      </c>
      <c r="N50" s="8" t="s">
        <v>352</v>
      </c>
      <c r="O50" s="8" t="s">
        <v>356</v>
      </c>
      <c r="P50">
        <v>0</v>
      </c>
      <c r="Q50">
        <v>2</v>
      </c>
      <c r="R50" s="6" t="s">
        <v>352</v>
      </c>
      <c r="S50" s="6" t="s">
        <v>356</v>
      </c>
      <c r="T50">
        <v>75</v>
      </c>
      <c r="U50" s="14" t="str">
        <f t="shared" si="0"/>
        <v>Y</v>
      </c>
    </row>
    <row r="51" spans="1:21" customFormat="1" x14ac:dyDescent="0.25">
      <c r="A51" t="s">
        <v>16</v>
      </c>
      <c r="B51" s="16"/>
      <c r="C51" s="16"/>
      <c r="D51" s="16" t="str">
        <f t="shared" si="3"/>
        <v/>
      </c>
      <c r="E51" s="16"/>
      <c r="F51" s="17">
        <v>-76.412357</v>
      </c>
      <c r="G51" s="17">
        <v>42.894993999999997</v>
      </c>
      <c r="H51">
        <v>3</v>
      </c>
      <c r="I51" t="s">
        <v>361</v>
      </c>
      <c r="J51" t="s">
        <v>360</v>
      </c>
      <c r="K51">
        <v>98</v>
      </c>
      <c r="L51">
        <v>106</v>
      </c>
      <c r="M51">
        <v>1</v>
      </c>
      <c r="N51" t="s">
        <v>352</v>
      </c>
      <c r="O51" t="s">
        <v>354</v>
      </c>
      <c r="P51">
        <v>0</v>
      </c>
      <c r="Q51">
        <v>0</v>
      </c>
      <c r="R51" s="6" t="s">
        <v>352</v>
      </c>
      <c r="S51" s="6" t="s">
        <v>356</v>
      </c>
      <c r="U51" s="14" t="str">
        <f t="shared" si="0"/>
        <v>Y</v>
      </c>
    </row>
    <row r="52" spans="1:21" customFormat="1" x14ac:dyDescent="0.25">
      <c r="A52" t="s">
        <v>17</v>
      </c>
      <c r="B52" s="16"/>
      <c r="C52" s="16"/>
      <c r="D52" s="16" t="str">
        <f t="shared" si="3"/>
        <v/>
      </c>
      <c r="E52" s="16"/>
      <c r="F52" s="17">
        <v>-76.411986999999996</v>
      </c>
      <c r="G52" s="17">
        <v>42.894697000000001</v>
      </c>
      <c r="H52">
        <v>4</v>
      </c>
      <c r="I52" t="s">
        <v>361</v>
      </c>
      <c r="J52" t="s">
        <v>359</v>
      </c>
      <c r="K52">
        <v>246</v>
      </c>
      <c r="L52">
        <v>386</v>
      </c>
      <c r="M52">
        <v>2</v>
      </c>
      <c r="N52" t="s">
        <v>352</v>
      </c>
      <c r="O52" t="s">
        <v>355</v>
      </c>
      <c r="R52" s="6"/>
      <c r="S52" s="6"/>
      <c r="U52" s="14" t="str">
        <f t="shared" si="0"/>
        <v>Y</v>
      </c>
    </row>
    <row r="53" spans="1:21" customFormat="1" x14ac:dyDescent="0.25">
      <c r="A53" t="s">
        <v>18</v>
      </c>
      <c r="B53" s="16"/>
      <c r="C53" s="16"/>
      <c r="D53" s="16" t="str">
        <f t="shared" si="3"/>
        <v/>
      </c>
      <c r="E53" s="16"/>
      <c r="F53" s="17">
        <v>-76.390895999999998</v>
      </c>
      <c r="G53" s="17">
        <v>42.894928</v>
      </c>
      <c r="H53">
        <v>5</v>
      </c>
      <c r="I53" t="s">
        <v>361</v>
      </c>
      <c r="J53" t="s">
        <v>359</v>
      </c>
      <c r="K53">
        <v>312</v>
      </c>
      <c r="L53">
        <v>1</v>
      </c>
      <c r="M53">
        <v>0</v>
      </c>
      <c r="N53" t="s">
        <v>352</v>
      </c>
      <c r="O53" t="s">
        <v>356</v>
      </c>
      <c r="R53" s="6"/>
      <c r="S53" s="6"/>
      <c r="T53">
        <v>312</v>
      </c>
      <c r="U53" s="14" t="str">
        <f t="shared" si="0"/>
        <v>Y</v>
      </c>
    </row>
    <row r="54" spans="1:21" customFormat="1" x14ac:dyDescent="0.25">
      <c r="A54" t="s">
        <v>19</v>
      </c>
      <c r="B54" s="16"/>
      <c r="C54" s="16"/>
      <c r="D54" s="16" t="str">
        <f t="shared" si="3"/>
        <v/>
      </c>
      <c r="E54" s="16"/>
      <c r="F54" s="17">
        <v>-76.411861000000002</v>
      </c>
      <c r="G54" s="17">
        <v>42.894782999999997</v>
      </c>
      <c r="H54">
        <v>5</v>
      </c>
      <c r="I54" t="s">
        <v>361</v>
      </c>
      <c r="J54" t="s">
        <v>359</v>
      </c>
      <c r="K54">
        <v>190</v>
      </c>
      <c r="L54">
        <v>177</v>
      </c>
      <c r="M54">
        <v>1</v>
      </c>
      <c r="N54" t="s">
        <v>352</v>
      </c>
      <c r="O54" t="s">
        <v>353</v>
      </c>
      <c r="P54">
        <v>0</v>
      </c>
      <c r="Q54">
        <v>1</v>
      </c>
      <c r="R54" s="6" t="s">
        <v>352</v>
      </c>
      <c r="S54" s="6" t="s">
        <v>355</v>
      </c>
      <c r="T54">
        <v>779</v>
      </c>
      <c r="U54" s="14" t="str">
        <f t="shared" si="0"/>
        <v>Y</v>
      </c>
    </row>
    <row r="55" spans="1:21" customFormat="1" x14ac:dyDescent="0.25">
      <c r="A55" t="s">
        <v>20</v>
      </c>
      <c r="B55" s="16"/>
      <c r="C55" s="16"/>
      <c r="D55" s="16" t="str">
        <f t="shared" si="3"/>
        <v/>
      </c>
      <c r="E55" s="16"/>
      <c r="F55" s="17">
        <v>-76.411921000000007</v>
      </c>
      <c r="G55" s="17">
        <v>42.894919333333299</v>
      </c>
      <c r="H55">
        <v>5</v>
      </c>
      <c r="I55" t="s">
        <v>361</v>
      </c>
      <c r="J55" t="s">
        <v>360</v>
      </c>
      <c r="K55">
        <v>230</v>
      </c>
      <c r="L55">
        <v>63</v>
      </c>
      <c r="M55">
        <v>1</v>
      </c>
      <c r="N55" t="s">
        <v>352</v>
      </c>
      <c r="O55" t="s">
        <v>354</v>
      </c>
      <c r="P55">
        <v>0</v>
      </c>
      <c r="Q55">
        <v>0</v>
      </c>
      <c r="R55" s="6" t="s">
        <v>352</v>
      </c>
      <c r="S55" s="6" t="s">
        <v>355</v>
      </c>
      <c r="U55" s="14" t="str">
        <f t="shared" si="0"/>
        <v>Y</v>
      </c>
    </row>
    <row r="56" spans="1:21" customFormat="1" x14ac:dyDescent="0.25">
      <c r="A56" t="s">
        <v>101</v>
      </c>
      <c r="B56" s="16" t="s">
        <v>601</v>
      </c>
      <c r="C56" s="16" t="str">
        <f t="shared" si="1"/>
        <v>03-07M-WA</v>
      </c>
      <c r="D56" s="16" t="b">
        <f t="shared" si="3"/>
        <v>1</v>
      </c>
      <c r="E56" s="16">
        <v>26</v>
      </c>
      <c r="F56" s="17">
        <v>-76.411888000000005</v>
      </c>
      <c r="G56" s="17">
        <v>42.895125999999998</v>
      </c>
      <c r="H56">
        <v>7</v>
      </c>
      <c r="I56" t="s">
        <v>361</v>
      </c>
      <c r="J56" t="s">
        <v>359</v>
      </c>
      <c r="P56">
        <v>68</v>
      </c>
      <c r="Q56">
        <v>0</v>
      </c>
      <c r="R56" s="6" t="s">
        <v>352</v>
      </c>
      <c r="S56" s="6" t="s">
        <v>354</v>
      </c>
      <c r="T56">
        <v>590</v>
      </c>
      <c r="U56" s="14" t="str">
        <f t="shared" si="0"/>
        <v>Y</v>
      </c>
    </row>
    <row r="57" spans="1:21" customFormat="1" x14ac:dyDescent="0.25">
      <c r="A57" t="s">
        <v>325</v>
      </c>
      <c r="B57" s="16" t="s">
        <v>602</v>
      </c>
      <c r="C57" s="16" t="str">
        <f t="shared" si="1"/>
        <v>03-07M-WB</v>
      </c>
      <c r="D57" s="16" t="b">
        <f t="shared" si="3"/>
        <v>1</v>
      </c>
      <c r="E57" s="16">
        <v>20</v>
      </c>
      <c r="F57" s="17">
        <v>-76.411888000000005</v>
      </c>
      <c r="G57" s="17">
        <v>42.895125999999998</v>
      </c>
      <c r="H57">
        <v>7</v>
      </c>
      <c r="I57" t="s">
        <v>361</v>
      </c>
      <c r="J57" t="s">
        <v>360</v>
      </c>
      <c r="P57">
        <v>69</v>
      </c>
      <c r="Q57">
        <v>0</v>
      </c>
      <c r="R57" s="6" t="s">
        <v>352</v>
      </c>
      <c r="S57" s="6" t="s">
        <v>355</v>
      </c>
      <c r="U57" s="14" t="str">
        <f t="shared" si="0"/>
        <v>Y</v>
      </c>
    </row>
    <row r="58" spans="1:21" customFormat="1" x14ac:dyDescent="0.25">
      <c r="A58" t="s">
        <v>21</v>
      </c>
      <c r="B58" s="16"/>
      <c r="C58" s="16"/>
      <c r="D58" s="16" t="str">
        <f t="shared" si="3"/>
        <v/>
      </c>
      <c r="E58" s="16"/>
      <c r="F58" s="17">
        <v>-76.391193000000001</v>
      </c>
      <c r="G58" s="17">
        <v>42.895040000000002</v>
      </c>
      <c r="H58">
        <v>8</v>
      </c>
      <c r="I58" t="s">
        <v>361</v>
      </c>
      <c r="J58" t="s">
        <v>359</v>
      </c>
      <c r="K58">
        <v>194</v>
      </c>
      <c r="L58">
        <v>0</v>
      </c>
      <c r="M58">
        <v>0</v>
      </c>
      <c r="N58" t="s">
        <v>352</v>
      </c>
      <c r="O58" t="s">
        <v>356</v>
      </c>
      <c r="R58" s="6"/>
      <c r="S58" s="6"/>
      <c r="T58">
        <v>234</v>
      </c>
      <c r="U58" s="14" t="str">
        <f t="shared" si="0"/>
        <v>Y</v>
      </c>
    </row>
    <row r="59" spans="1:21" customFormat="1" x14ac:dyDescent="0.25">
      <c r="A59" t="s">
        <v>22</v>
      </c>
      <c r="B59" s="16"/>
      <c r="C59" s="16"/>
      <c r="D59" s="16" t="str">
        <f t="shared" si="3"/>
        <v/>
      </c>
      <c r="E59" s="16"/>
      <c r="F59" s="17">
        <v>-76.391193000000001</v>
      </c>
      <c r="G59" s="17">
        <v>42.895040000000002</v>
      </c>
      <c r="H59">
        <v>8</v>
      </c>
      <c r="I59" t="s">
        <v>361</v>
      </c>
      <c r="J59" t="s">
        <v>360</v>
      </c>
      <c r="K59">
        <v>170</v>
      </c>
      <c r="L59">
        <v>0</v>
      </c>
      <c r="M59">
        <v>0</v>
      </c>
      <c r="N59" t="s">
        <v>352</v>
      </c>
      <c r="O59" t="s">
        <v>356</v>
      </c>
      <c r="R59" s="6"/>
      <c r="S59" s="6"/>
      <c r="T59">
        <v>405</v>
      </c>
      <c r="U59" s="14" t="str">
        <f t="shared" si="0"/>
        <v>Y</v>
      </c>
    </row>
    <row r="60" spans="1:21" customFormat="1" x14ac:dyDescent="0.25">
      <c r="A60" t="s">
        <v>23</v>
      </c>
      <c r="B60" s="16"/>
      <c r="C60" s="16"/>
      <c r="D60" s="16" t="str">
        <f t="shared" si="3"/>
        <v/>
      </c>
      <c r="E60" s="16"/>
      <c r="F60" s="17">
        <v>-76.411734999999993</v>
      </c>
      <c r="G60" s="17">
        <v>42.894888000000002</v>
      </c>
      <c r="H60">
        <v>8</v>
      </c>
      <c r="I60" t="s">
        <v>361</v>
      </c>
      <c r="J60" t="s">
        <v>359</v>
      </c>
      <c r="K60">
        <v>128</v>
      </c>
      <c r="L60">
        <v>237</v>
      </c>
      <c r="M60">
        <v>1</v>
      </c>
      <c r="N60" t="s">
        <v>352</v>
      </c>
      <c r="O60" t="s">
        <v>355</v>
      </c>
      <c r="R60" s="6"/>
      <c r="S60" s="6"/>
      <c r="U60" s="14" t="str">
        <f t="shared" si="0"/>
        <v>Y</v>
      </c>
    </row>
    <row r="61" spans="1:21" customFormat="1" x14ac:dyDescent="0.25">
      <c r="A61" t="s">
        <v>24</v>
      </c>
      <c r="B61" s="16"/>
      <c r="C61" s="16"/>
      <c r="D61" s="16" t="str">
        <f t="shared" si="3"/>
        <v/>
      </c>
      <c r="E61" s="16"/>
      <c r="F61" s="17">
        <v>-76.391499999999994</v>
      </c>
      <c r="G61" s="17">
        <v>42.895133000000001</v>
      </c>
      <c r="H61">
        <v>11</v>
      </c>
      <c r="I61" t="s">
        <v>361</v>
      </c>
      <c r="J61" t="s">
        <v>359</v>
      </c>
      <c r="K61">
        <v>684</v>
      </c>
      <c r="L61">
        <v>575</v>
      </c>
      <c r="M61">
        <v>1</v>
      </c>
      <c r="N61" t="s">
        <v>352</v>
      </c>
      <c r="O61" t="s">
        <v>355</v>
      </c>
      <c r="R61" s="6"/>
      <c r="S61" s="6"/>
      <c r="T61">
        <v>313</v>
      </c>
      <c r="U61" s="14" t="str">
        <f t="shared" si="0"/>
        <v>Y</v>
      </c>
    </row>
    <row r="62" spans="1:21" customFormat="1" x14ac:dyDescent="0.25">
      <c r="A62" t="s">
        <v>25</v>
      </c>
      <c r="B62" s="16" t="s">
        <v>603</v>
      </c>
      <c r="C62" s="16" t="str">
        <f t="shared" si="1"/>
        <v>03-11M-WA</v>
      </c>
      <c r="D62" s="16" t="b">
        <f t="shared" si="3"/>
        <v>1</v>
      </c>
      <c r="E62" s="16">
        <v>224</v>
      </c>
      <c r="F62" s="17">
        <v>-76.411698999999999</v>
      </c>
      <c r="G62" s="17">
        <v>42.894902000000002</v>
      </c>
      <c r="H62">
        <v>11</v>
      </c>
      <c r="I62" t="s">
        <v>361</v>
      </c>
      <c r="J62" t="s">
        <v>359</v>
      </c>
      <c r="K62">
        <v>295</v>
      </c>
      <c r="L62">
        <v>526</v>
      </c>
      <c r="M62">
        <v>2</v>
      </c>
      <c r="N62" t="s">
        <v>352</v>
      </c>
      <c r="O62" t="s">
        <v>355</v>
      </c>
      <c r="P62">
        <v>217</v>
      </c>
      <c r="Q62">
        <v>0</v>
      </c>
      <c r="R62" s="6" t="s">
        <v>352</v>
      </c>
      <c r="S62" s="6" t="s">
        <v>355</v>
      </c>
      <c r="T62">
        <v>211</v>
      </c>
      <c r="U62" s="14" t="str">
        <f t="shared" si="0"/>
        <v>Y</v>
      </c>
    </row>
    <row r="63" spans="1:21" customFormat="1" x14ac:dyDescent="0.25">
      <c r="A63" t="s">
        <v>26</v>
      </c>
      <c r="B63" s="16" t="s">
        <v>604</v>
      </c>
      <c r="C63" s="16" t="str">
        <f t="shared" si="1"/>
        <v>03-11M-WB</v>
      </c>
      <c r="D63" s="16" t="b">
        <f t="shared" si="3"/>
        <v>1</v>
      </c>
      <c r="E63" s="16">
        <v>257</v>
      </c>
      <c r="F63" s="17">
        <v>-76.411755999999997</v>
      </c>
      <c r="G63" s="17">
        <v>42.895016333333302</v>
      </c>
      <c r="H63">
        <v>11</v>
      </c>
      <c r="I63" t="s">
        <v>361</v>
      </c>
      <c r="J63" t="s">
        <v>360</v>
      </c>
      <c r="K63">
        <v>312</v>
      </c>
      <c r="L63">
        <v>525</v>
      </c>
      <c r="M63">
        <v>1</v>
      </c>
      <c r="N63" t="s">
        <v>352</v>
      </c>
      <c r="O63" t="s">
        <v>355</v>
      </c>
      <c r="P63">
        <v>234</v>
      </c>
      <c r="Q63">
        <v>0</v>
      </c>
      <c r="R63" s="6" t="s">
        <v>352</v>
      </c>
      <c r="S63" s="6" t="s">
        <v>355</v>
      </c>
      <c r="U63" s="14" t="str">
        <f t="shared" si="0"/>
        <v>Y</v>
      </c>
    </row>
    <row r="64" spans="1:21" customFormat="1" x14ac:dyDescent="0.25">
      <c r="A64" t="s">
        <v>27</v>
      </c>
      <c r="B64" s="16"/>
      <c r="C64" s="16"/>
      <c r="D64" s="16" t="str">
        <f t="shared" si="3"/>
        <v/>
      </c>
      <c r="E64" s="16"/>
      <c r="F64" s="17">
        <v>-76.391689</v>
      </c>
      <c r="G64" s="17">
        <v>42.895184999999998</v>
      </c>
      <c r="H64">
        <v>14</v>
      </c>
      <c r="I64" t="s">
        <v>361</v>
      </c>
      <c r="J64" t="s">
        <v>359</v>
      </c>
      <c r="K64">
        <v>244</v>
      </c>
      <c r="L64">
        <v>394</v>
      </c>
      <c r="M64">
        <v>2</v>
      </c>
      <c r="N64" t="s">
        <v>352</v>
      </c>
      <c r="O64" t="s">
        <v>354</v>
      </c>
      <c r="R64" s="6"/>
      <c r="S64" s="6"/>
      <c r="T64">
        <v>193</v>
      </c>
      <c r="U64" s="14" t="str">
        <f t="shared" si="0"/>
        <v>Y</v>
      </c>
    </row>
    <row r="65" spans="1:21" customFormat="1" x14ac:dyDescent="0.25">
      <c r="A65" t="s">
        <v>28</v>
      </c>
      <c r="B65" s="16" t="s">
        <v>605</v>
      </c>
      <c r="C65" s="16" t="str">
        <f t="shared" si="1"/>
        <v>03-14M-WA</v>
      </c>
      <c r="D65" s="16" t="b">
        <f t="shared" si="3"/>
        <v>1</v>
      </c>
      <c r="E65" s="16">
        <v>263</v>
      </c>
      <c r="F65" s="17">
        <v>-76.411653999999999</v>
      </c>
      <c r="G65" s="17">
        <v>42.894987</v>
      </c>
      <c r="H65">
        <v>14</v>
      </c>
      <c r="I65" t="s">
        <v>361</v>
      </c>
      <c r="J65" t="s">
        <v>359</v>
      </c>
      <c r="K65">
        <v>336</v>
      </c>
      <c r="L65">
        <v>144</v>
      </c>
      <c r="M65">
        <v>1</v>
      </c>
      <c r="N65" t="s">
        <v>352</v>
      </c>
      <c r="O65" t="s">
        <v>355</v>
      </c>
      <c r="P65">
        <v>221</v>
      </c>
      <c r="Q65">
        <v>0</v>
      </c>
      <c r="R65" s="6" t="s">
        <v>352</v>
      </c>
      <c r="S65" s="6" t="s">
        <v>355</v>
      </c>
      <c r="U65" s="14" t="str">
        <f t="shared" si="0"/>
        <v>Y</v>
      </c>
    </row>
    <row r="66" spans="1:21" customFormat="1" x14ac:dyDescent="0.25">
      <c r="A66" t="s">
        <v>29</v>
      </c>
      <c r="B66" s="16" t="s">
        <v>606</v>
      </c>
      <c r="C66" s="16" t="str">
        <f t="shared" si="1"/>
        <v>03-14M-WB</v>
      </c>
      <c r="D66" s="16" t="b">
        <f t="shared" si="3"/>
        <v>1</v>
      </c>
      <c r="E66" s="16">
        <v>123</v>
      </c>
      <c r="F66" s="17">
        <v>-76.411663000000004</v>
      </c>
      <c r="G66" s="17">
        <v>42.895015666666701</v>
      </c>
      <c r="H66">
        <v>14</v>
      </c>
      <c r="I66" t="s">
        <v>361</v>
      </c>
      <c r="J66" t="s">
        <v>360</v>
      </c>
      <c r="K66">
        <v>171</v>
      </c>
      <c r="L66">
        <v>356</v>
      </c>
      <c r="M66">
        <v>1</v>
      </c>
      <c r="N66" t="s">
        <v>352</v>
      </c>
      <c r="O66" t="s">
        <v>355</v>
      </c>
      <c r="P66">
        <v>119</v>
      </c>
      <c r="Q66">
        <v>0</v>
      </c>
      <c r="R66" s="6" t="s">
        <v>352</v>
      </c>
      <c r="S66" s="6" t="s">
        <v>355</v>
      </c>
      <c r="T66">
        <v>127</v>
      </c>
      <c r="U66" s="14" t="str">
        <f t="shared" si="0"/>
        <v>Y</v>
      </c>
    </row>
    <row r="67" spans="1:21" customFormat="1" x14ac:dyDescent="0.25">
      <c r="A67" t="s">
        <v>30</v>
      </c>
      <c r="B67" s="16"/>
      <c r="C67" s="16"/>
      <c r="D67" s="16" t="str">
        <f t="shared" si="3"/>
        <v/>
      </c>
      <c r="E67" s="16"/>
      <c r="F67" s="17">
        <v>-76.391941000000003</v>
      </c>
      <c r="G67" s="17">
        <v>42.895271000000001</v>
      </c>
      <c r="H67">
        <v>17</v>
      </c>
      <c r="I67" t="s">
        <v>361</v>
      </c>
      <c r="J67" t="s">
        <v>359</v>
      </c>
      <c r="K67">
        <v>1481</v>
      </c>
      <c r="L67">
        <v>642</v>
      </c>
      <c r="M67">
        <v>1</v>
      </c>
      <c r="N67" t="s">
        <v>352</v>
      </c>
      <c r="O67" t="s">
        <v>355</v>
      </c>
      <c r="R67" s="6"/>
      <c r="S67" s="6"/>
      <c r="T67">
        <v>377</v>
      </c>
      <c r="U67" s="14" t="str">
        <f t="shared" ref="U67:U130" si="4">IF(OR(Q67&lt;&gt;"", M67&lt;&gt;""), "Y", "")</f>
        <v>Y</v>
      </c>
    </row>
    <row r="68" spans="1:21" customFormat="1" x14ac:dyDescent="0.25">
      <c r="A68" t="s">
        <v>263</v>
      </c>
      <c r="B68" s="16" t="s">
        <v>607</v>
      </c>
      <c r="C68" s="16" t="str">
        <f t="shared" si="1"/>
        <v>03-17M-WA</v>
      </c>
      <c r="D68" s="16" t="b">
        <f t="shared" si="3"/>
        <v>1</v>
      </c>
      <c r="E68" s="16">
        <v>726</v>
      </c>
      <c r="F68" s="17">
        <v>-76.411609484937102</v>
      </c>
      <c r="G68" s="17">
        <v>42.895070031418399</v>
      </c>
      <c r="H68">
        <v>17</v>
      </c>
      <c r="I68" t="s">
        <v>361</v>
      </c>
      <c r="J68" t="s">
        <v>359</v>
      </c>
      <c r="P68">
        <v>771</v>
      </c>
      <c r="Q68">
        <v>2</v>
      </c>
      <c r="R68" s="6" t="s">
        <v>352</v>
      </c>
      <c r="S68" s="6" t="s">
        <v>355</v>
      </c>
      <c r="U68" s="14" t="str">
        <f t="shared" si="4"/>
        <v>Y</v>
      </c>
    </row>
    <row r="69" spans="1:21" customFormat="1" x14ac:dyDescent="0.25">
      <c r="A69" t="s">
        <v>102</v>
      </c>
      <c r="B69" s="16" t="s">
        <v>608</v>
      </c>
      <c r="C69" s="16" t="str">
        <f t="shared" si="1"/>
        <v>03-18M-WA</v>
      </c>
      <c r="D69" s="16" t="b">
        <f t="shared" si="3"/>
        <v>1</v>
      </c>
      <c r="E69" s="16">
        <v>330</v>
      </c>
      <c r="F69" s="17">
        <v>-76.411598999999995</v>
      </c>
      <c r="G69" s="17">
        <v>42.895119000000001</v>
      </c>
      <c r="H69">
        <v>18</v>
      </c>
      <c r="I69" t="s">
        <v>361</v>
      </c>
      <c r="J69" t="s">
        <v>359</v>
      </c>
      <c r="P69">
        <v>281</v>
      </c>
      <c r="Q69">
        <v>2</v>
      </c>
      <c r="R69" s="6" t="s">
        <v>352</v>
      </c>
      <c r="S69" s="6" t="s">
        <v>355</v>
      </c>
      <c r="T69">
        <v>238</v>
      </c>
      <c r="U69" s="14" t="str">
        <f t="shared" si="4"/>
        <v>Y</v>
      </c>
    </row>
    <row r="70" spans="1:21" customFormat="1" x14ac:dyDescent="0.25">
      <c r="A70" t="s">
        <v>264</v>
      </c>
      <c r="B70" s="16" t="s">
        <v>609</v>
      </c>
      <c r="C70" s="16" t="str">
        <f t="shared" si="1"/>
        <v>03-18M-WB</v>
      </c>
      <c r="D70" s="16" t="b">
        <f t="shared" si="3"/>
        <v>1</v>
      </c>
      <c r="E70" s="16">
        <v>285</v>
      </c>
      <c r="F70" s="17">
        <v>-76.411598999999995</v>
      </c>
      <c r="G70" s="17">
        <v>42.895119000000001</v>
      </c>
      <c r="H70">
        <v>18</v>
      </c>
      <c r="I70" t="s">
        <v>361</v>
      </c>
      <c r="J70" t="s">
        <v>360</v>
      </c>
      <c r="P70">
        <v>258</v>
      </c>
      <c r="Q70">
        <v>2</v>
      </c>
      <c r="R70" s="6" t="s">
        <v>352</v>
      </c>
      <c r="S70" s="6" t="s">
        <v>355</v>
      </c>
      <c r="U70" s="14" t="str">
        <f t="shared" si="4"/>
        <v>Y</v>
      </c>
    </row>
    <row r="71" spans="1:21" customFormat="1" x14ac:dyDescent="0.25">
      <c r="A71" t="s">
        <v>103</v>
      </c>
      <c r="B71" s="16" t="s">
        <v>610</v>
      </c>
      <c r="C71" s="16" t="str">
        <f t="shared" ref="C71:C85" si="5">UPPER(RIGHT(B71,9))</f>
        <v>03-24M-EA</v>
      </c>
      <c r="D71" s="16" t="b">
        <f t="shared" si="3"/>
        <v>1</v>
      </c>
      <c r="E71" s="16">
        <v>326</v>
      </c>
      <c r="F71" s="17">
        <v>-76.392464000000004</v>
      </c>
      <c r="G71" s="17">
        <v>42.895046999999998</v>
      </c>
      <c r="H71">
        <v>24</v>
      </c>
      <c r="I71" t="s">
        <v>361</v>
      </c>
      <c r="J71" t="s">
        <v>359</v>
      </c>
      <c r="P71">
        <v>308</v>
      </c>
      <c r="Q71">
        <v>2</v>
      </c>
      <c r="R71" s="6" t="s">
        <v>352</v>
      </c>
      <c r="S71" s="6" t="s">
        <v>355</v>
      </c>
      <c r="T71">
        <v>281</v>
      </c>
      <c r="U71" s="14" t="str">
        <f t="shared" si="4"/>
        <v>Y</v>
      </c>
    </row>
    <row r="72" spans="1:21" customFormat="1" x14ac:dyDescent="0.25">
      <c r="A72" t="s">
        <v>326</v>
      </c>
      <c r="B72" s="16"/>
      <c r="C72" s="16"/>
      <c r="D72" s="16" t="str">
        <f t="shared" si="3"/>
        <v/>
      </c>
      <c r="E72" s="16"/>
      <c r="F72" s="17">
        <v>-76.392464000000004</v>
      </c>
      <c r="G72" s="17">
        <v>42.895046999999998</v>
      </c>
      <c r="H72">
        <v>24</v>
      </c>
      <c r="I72" t="s">
        <v>361</v>
      </c>
      <c r="J72" t="s">
        <v>360</v>
      </c>
      <c r="P72">
        <v>0</v>
      </c>
      <c r="Q72">
        <v>2</v>
      </c>
      <c r="R72" s="6" t="s">
        <v>352</v>
      </c>
      <c r="S72" s="6" t="s">
        <v>355</v>
      </c>
      <c r="U72" s="14" t="str">
        <f t="shared" si="4"/>
        <v>Y</v>
      </c>
    </row>
    <row r="73" spans="1:21" customFormat="1" x14ac:dyDescent="0.25">
      <c r="A73" t="s">
        <v>104</v>
      </c>
      <c r="B73" s="16" t="s">
        <v>611</v>
      </c>
      <c r="C73" s="16" t="str">
        <f t="shared" si="5"/>
        <v>03-24M-WA</v>
      </c>
      <c r="D73" s="16" t="b">
        <f t="shared" si="3"/>
        <v>1</v>
      </c>
      <c r="E73" s="16">
        <v>291</v>
      </c>
      <c r="F73" s="17">
        <v>-76.411185000000003</v>
      </c>
      <c r="G73" s="17">
        <v>42.895007</v>
      </c>
      <c r="H73">
        <v>24</v>
      </c>
      <c r="I73" t="s">
        <v>361</v>
      </c>
      <c r="J73" t="s">
        <v>359</v>
      </c>
      <c r="P73">
        <v>268</v>
      </c>
      <c r="Q73">
        <v>2</v>
      </c>
      <c r="R73" s="6" t="s">
        <v>352</v>
      </c>
      <c r="S73" s="6" t="s">
        <v>355</v>
      </c>
      <c r="T73">
        <v>298</v>
      </c>
      <c r="U73" s="14" t="str">
        <f t="shared" si="4"/>
        <v>Y</v>
      </c>
    </row>
    <row r="74" spans="1:21" customFormat="1" x14ac:dyDescent="0.25">
      <c r="A74" t="s">
        <v>105</v>
      </c>
      <c r="B74" s="16" t="s">
        <v>612</v>
      </c>
      <c r="C74" s="16" t="str">
        <f t="shared" si="5"/>
        <v>03-29M-WA</v>
      </c>
      <c r="D74" s="16" t="b">
        <f t="shared" si="3"/>
        <v>1</v>
      </c>
      <c r="E74" s="16">
        <v>216</v>
      </c>
      <c r="F74" s="17">
        <v>-76.410652999999996</v>
      </c>
      <c r="G74" s="17">
        <v>42.894953999999998</v>
      </c>
      <c r="H74">
        <v>29</v>
      </c>
      <c r="I74" t="s">
        <v>361</v>
      </c>
      <c r="J74" t="s">
        <v>359</v>
      </c>
      <c r="P74">
        <v>199</v>
      </c>
      <c r="Q74">
        <v>2</v>
      </c>
      <c r="R74" s="6" t="s">
        <v>352</v>
      </c>
      <c r="S74" s="6" t="s">
        <v>355</v>
      </c>
      <c r="T74">
        <v>173</v>
      </c>
      <c r="U74" s="14" t="str">
        <f t="shared" si="4"/>
        <v>Y</v>
      </c>
    </row>
    <row r="75" spans="1:21" customFormat="1" x14ac:dyDescent="0.25">
      <c r="A75" t="s">
        <v>106</v>
      </c>
      <c r="B75" s="16" t="s">
        <v>613</v>
      </c>
      <c r="C75" s="16" t="str">
        <f t="shared" si="5"/>
        <v>03-31M-EA</v>
      </c>
      <c r="D75" s="16" t="b">
        <f t="shared" si="3"/>
        <v>1</v>
      </c>
      <c r="E75" s="16">
        <v>287</v>
      </c>
      <c r="F75" s="17">
        <v>-76.392968999999994</v>
      </c>
      <c r="G75" s="17">
        <v>42.89508</v>
      </c>
      <c r="H75">
        <v>31</v>
      </c>
      <c r="I75" t="s">
        <v>361</v>
      </c>
      <c r="J75" t="s">
        <v>359</v>
      </c>
      <c r="P75">
        <v>277</v>
      </c>
      <c r="Q75">
        <v>2</v>
      </c>
      <c r="R75" s="6" t="s">
        <v>352</v>
      </c>
      <c r="S75" s="6" t="s">
        <v>355</v>
      </c>
      <c r="T75">
        <v>62</v>
      </c>
      <c r="U75" s="14" t="str">
        <f t="shared" si="4"/>
        <v>Y</v>
      </c>
    </row>
    <row r="76" spans="1:21" customFormat="1" x14ac:dyDescent="0.25">
      <c r="A76" t="s">
        <v>107</v>
      </c>
      <c r="B76" s="16" t="s">
        <v>614</v>
      </c>
      <c r="C76" s="16" t="str">
        <f t="shared" si="5"/>
        <v>03-38M-EA</v>
      </c>
      <c r="D76" s="16" t="b">
        <f t="shared" si="3"/>
        <v>1</v>
      </c>
      <c r="E76" s="16">
        <v>178</v>
      </c>
      <c r="F76" s="17">
        <v>-76.394068000000004</v>
      </c>
      <c r="G76" s="17">
        <v>42.895007</v>
      </c>
      <c r="H76">
        <v>38</v>
      </c>
      <c r="I76" t="s">
        <v>361</v>
      </c>
      <c r="J76" t="s">
        <v>359</v>
      </c>
      <c r="P76">
        <v>146</v>
      </c>
      <c r="Q76">
        <v>2</v>
      </c>
      <c r="R76" s="6" t="s">
        <v>352</v>
      </c>
      <c r="S76" s="6" t="s">
        <v>355</v>
      </c>
      <c r="T76">
        <v>45</v>
      </c>
      <c r="U76" s="14" t="str">
        <f t="shared" si="4"/>
        <v>Y</v>
      </c>
    </row>
    <row r="77" spans="1:21" customFormat="1" x14ac:dyDescent="0.25">
      <c r="A77" t="s">
        <v>108</v>
      </c>
      <c r="B77" s="16" t="s">
        <v>615</v>
      </c>
      <c r="C77" s="16" t="str">
        <f t="shared" si="5"/>
        <v>03-39M-WA</v>
      </c>
      <c r="D77" s="16" t="b">
        <f t="shared" si="3"/>
        <v>1</v>
      </c>
      <c r="E77" s="16">
        <v>115</v>
      </c>
      <c r="F77" s="17">
        <v>-76.410166000000004</v>
      </c>
      <c r="G77" s="17">
        <v>42.894981000000001</v>
      </c>
      <c r="H77">
        <v>39</v>
      </c>
      <c r="I77" t="s">
        <v>361</v>
      </c>
      <c r="J77" t="s">
        <v>359</v>
      </c>
      <c r="P77">
        <v>98</v>
      </c>
      <c r="Q77">
        <v>2</v>
      </c>
      <c r="R77" s="6" t="s">
        <v>352</v>
      </c>
      <c r="S77" s="6" t="s">
        <v>355</v>
      </c>
      <c r="T77">
        <v>23</v>
      </c>
      <c r="U77" s="14" t="str">
        <f t="shared" si="4"/>
        <v>Y</v>
      </c>
    </row>
    <row r="78" spans="1:21" customFormat="1" x14ac:dyDescent="0.25">
      <c r="A78" t="s">
        <v>265</v>
      </c>
      <c r="B78" s="16" t="s">
        <v>616</v>
      </c>
      <c r="C78" s="16" t="str">
        <f t="shared" si="5"/>
        <v>03-43M-EA</v>
      </c>
      <c r="D78" s="16" t="b">
        <f t="shared" si="3"/>
        <v>1</v>
      </c>
      <c r="E78" s="16">
        <v>136</v>
      </c>
      <c r="F78" s="17">
        <v>-76.394807999999998</v>
      </c>
      <c r="G78" s="17">
        <v>42.894967999999999</v>
      </c>
      <c r="H78">
        <v>43</v>
      </c>
      <c r="I78" t="s">
        <v>361</v>
      </c>
      <c r="J78" t="s">
        <v>359</v>
      </c>
      <c r="P78">
        <v>135</v>
      </c>
      <c r="Q78">
        <v>2</v>
      </c>
      <c r="R78" s="6" t="s">
        <v>352</v>
      </c>
      <c r="S78" s="6" t="s">
        <v>355</v>
      </c>
      <c r="T78">
        <v>48</v>
      </c>
      <c r="U78" s="14" t="str">
        <f t="shared" si="4"/>
        <v>Y</v>
      </c>
    </row>
    <row r="79" spans="1:21" customFormat="1" x14ac:dyDescent="0.25">
      <c r="A79" t="s">
        <v>110</v>
      </c>
      <c r="B79" s="16" t="s">
        <v>617</v>
      </c>
      <c r="C79" s="16" t="str">
        <f t="shared" si="5"/>
        <v>03-45M-WA</v>
      </c>
      <c r="D79" s="16" t="b">
        <f t="shared" si="3"/>
        <v>1</v>
      </c>
      <c r="E79" s="16">
        <v>86</v>
      </c>
      <c r="F79" s="17">
        <v>-76.409561999999994</v>
      </c>
      <c r="G79" s="17">
        <v>42.894902000000002</v>
      </c>
      <c r="H79">
        <v>45</v>
      </c>
      <c r="I79" t="s">
        <v>361</v>
      </c>
      <c r="J79" t="s">
        <v>359</v>
      </c>
      <c r="P79">
        <v>73</v>
      </c>
      <c r="Q79">
        <v>2</v>
      </c>
      <c r="R79" s="6" t="s">
        <v>352</v>
      </c>
      <c r="S79" s="6" t="s">
        <v>355</v>
      </c>
      <c r="T79">
        <v>115</v>
      </c>
      <c r="U79" s="14" t="str">
        <f t="shared" si="4"/>
        <v>Y</v>
      </c>
    </row>
    <row r="80" spans="1:21" customFormat="1" x14ac:dyDescent="0.25">
      <c r="A80" t="s">
        <v>266</v>
      </c>
      <c r="B80" s="16"/>
      <c r="C80" s="16"/>
      <c r="D80" s="16" t="str">
        <f t="shared" si="3"/>
        <v/>
      </c>
      <c r="E80" s="16"/>
      <c r="F80" s="17">
        <v>-76.409561999999994</v>
      </c>
      <c r="G80" s="17">
        <v>42.894902000000002</v>
      </c>
      <c r="H80">
        <v>45</v>
      </c>
      <c r="I80" t="s">
        <v>361</v>
      </c>
      <c r="J80" t="s">
        <v>360</v>
      </c>
      <c r="P80">
        <v>146</v>
      </c>
      <c r="Q80">
        <v>2</v>
      </c>
      <c r="R80" s="6" t="s">
        <v>352</v>
      </c>
      <c r="S80" s="6" t="s">
        <v>379</v>
      </c>
      <c r="U80" s="14" t="str">
        <f t="shared" si="4"/>
        <v>Y</v>
      </c>
    </row>
    <row r="81" spans="1:21" customFormat="1" x14ac:dyDescent="0.25">
      <c r="A81" t="s">
        <v>111</v>
      </c>
      <c r="B81" s="16" t="s">
        <v>618</v>
      </c>
      <c r="C81" s="16" t="str">
        <f t="shared" si="5"/>
        <v>03-52M-EA</v>
      </c>
      <c r="D81" s="16" t="b">
        <f t="shared" si="3"/>
        <v>1</v>
      </c>
      <c r="E81" s="16">
        <v>61</v>
      </c>
      <c r="F81" s="17">
        <v>-76.397132294201398</v>
      </c>
      <c r="G81" s="17">
        <v>42.895041392865899</v>
      </c>
      <c r="H81">
        <v>52</v>
      </c>
      <c r="I81" t="s">
        <v>361</v>
      </c>
      <c r="J81" t="s">
        <v>359</v>
      </c>
      <c r="P81">
        <v>45</v>
      </c>
      <c r="Q81">
        <v>2</v>
      </c>
      <c r="R81" s="6" t="s">
        <v>352</v>
      </c>
      <c r="S81" s="6" t="s">
        <v>355</v>
      </c>
      <c r="T81">
        <v>29</v>
      </c>
      <c r="U81" s="14" t="str">
        <f t="shared" si="4"/>
        <v>Y</v>
      </c>
    </row>
    <row r="82" spans="1:21" customFormat="1" x14ac:dyDescent="0.25">
      <c r="A82" t="s">
        <v>112</v>
      </c>
      <c r="B82" s="16"/>
      <c r="C82" s="16"/>
      <c r="D82" s="16" t="str">
        <f t="shared" si="3"/>
        <v/>
      </c>
      <c r="E82" s="16"/>
      <c r="F82" s="17">
        <v>-76.397277000000003</v>
      </c>
      <c r="G82" s="17">
        <v>42.895046999999998</v>
      </c>
      <c r="H82">
        <v>53</v>
      </c>
      <c r="I82" t="s">
        <v>361</v>
      </c>
      <c r="J82" t="s">
        <v>359</v>
      </c>
      <c r="R82" s="6"/>
      <c r="S82" s="6"/>
      <c r="T82">
        <v>34</v>
      </c>
      <c r="U82" s="14" t="str">
        <f t="shared" si="4"/>
        <v/>
      </c>
    </row>
    <row r="83" spans="1:21" customFormat="1" x14ac:dyDescent="0.25">
      <c r="A83" t="s">
        <v>113</v>
      </c>
      <c r="B83" s="16" t="s">
        <v>619</v>
      </c>
      <c r="C83" s="16" t="str">
        <f t="shared" si="5"/>
        <v>03-53M-WA</v>
      </c>
      <c r="D83" s="16" t="b">
        <f t="shared" si="3"/>
        <v>1</v>
      </c>
      <c r="E83" s="16">
        <v>41</v>
      </c>
      <c r="F83" s="17">
        <v>-76.408472000000003</v>
      </c>
      <c r="G83" s="17">
        <v>42.895066999999997</v>
      </c>
      <c r="H83">
        <v>53</v>
      </c>
      <c r="I83" t="s">
        <v>361</v>
      </c>
      <c r="J83" t="s">
        <v>359</v>
      </c>
      <c r="P83">
        <v>38</v>
      </c>
      <c r="Q83">
        <v>2</v>
      </c>
      <c r="R83" s="6" t="s">
        <v>352</v>
      </c>
      <c r="S83" s="6" t="s">
        <v>355</v>
      </c>
      <c r="T83">
        <v>30</v>
      </c>
      <c r="U83" s="14" t="str">
        <f t="shared" si="4"/>
        <v>Y</v>
      </c>
    </row>
    <row r="84" spans="1:21" customFormat="1" x14ac:dyDescent="0.25">
      <c r="A84" t="s">
        <v>114</v>
      </c>
      <c r="B84" s="16"/>
      <c r="C84" s="16"/>
      <c r="D84" s="16" t="str">
        <f t="shared" si="3"/>
        <v/>
      </c>
      <c r="E84" s="16"/>
      <c r="F84" s="17">
        <v>-76.399827999999999</v>
      </c>
      <c r="G84" s="17">
        <v>42.895014000000003</v>
      </c>
      <c r="H84">
        <v>60</v>
      </c>
      <c r="I84" t="s">
        <v>361</v>
      </c>
      <c r="J84" t="s">
        <v>359</v>
      </c>
      <c r="R84" s="6"/>
      <c r="S84" s="6"/>
      <c r="T84">
        <v>86</v>
      </c>
      <c r="U84" s="14" t="str">
        <f t="shared" si="4"/>
        <v/>
      </c>
    </row>
    <row r="85" spans="1:21" customFormat="1" x14ac:dyDescent="0.25">
      <c r="A85" t="s">
        <v>267</v>
      </c>
      <c r="B85" s="16" t="s">
        <v>620</v>
      </c>
      <c r="C85" s="16" t="str">
        <f t="shared" si="5"/>
        <v>04-01M-WA</v>
      </c>
      <c r="D85" s="16" t="b">
        <f t="shared" si="3"/>
        <v>1</v>
      </c>
      <c r="E85" s="16">
        <v>104</v>
      </c>
      <c r="F85" s="17">
        <v>-76.397060999999994</v>
      </c>
      <c r="G85" s="17">
        <v>42.860402999999998</v>
      </c>
      <c r="H85">
        <v>1</v>
      </c>
      <c r="I85" t="s">
        <v>371</v>
      </c>
      <c r="J85" t="s">
        <v>359</v>
      </c>
      <c r="P85">
        <v>116</v>
      </c>
      <c r="Q85">
        <v>1</v>
      </c>
      <c r="R85" s="6" t="s">
        <v>357</v>
      </c>
      <c r="S85" s="6" t="s">
        <v>355</v>
      </c>
      <c r="U85" s="14" t="str">
        <f t="shared" si="4"/>
        <v>Y</v>
      </c>
    </row>
    <row r="86" spans="1:21" customFormat="1" x14ac:dyDescent="0.25">
      <c r="A86" t="s">
        <v>268</v>
      </c>
      <c r="B86" s="16" t="s">
        <v>621</v>
      </c>
      <c r="C86" s="16" t="str">
        <f t="shared" ref="C86:C127" si="6">UPPER(RIGHT(B86,9))</f>
        <v>04-01M-WB</v>
      </c>
      <c r="D86" s="16" t="b">
        <f t="shared" si="3"/>
        <v>1</v>
      </c>
      <c r="E86" s="16">
        <v>147</v>
      </c>
      <c r="F86" s="17">
        <v>-76.397060999999994</v>
      </c>
      <c r="G86" s="17">
        <v>42.860402999999998</v>
      </c>
      <c r="H86">
        <v>1</v>
      </c>
      <c r="I86" t="s">
        <v>371</v>
      </c>
      <c r="J86" t="s">
        <v>360</v>
      </c>
      <c r="P86">
        <v>146</v>
      </c>
      <c r="Q86">
        <v>1</v>
      </c>
      <c r="R86" s="6" t="s">
        <v>357</v>
      </c>
      <c r="S86" s="6" t="s">
        <v>355</v>
      </c>
      <c r="U86" s="14" t="str">
        <f t="shared" si="4"/>
        <v>Y</v>
      </c>
    </row>
    <row r="87" spans="1:21" customFormat="1" x14ac:dyDescent="0.25">
      <c r="A87" t="s">
        <v>327</v>
      </c>
      <c r="B87" s="16" t="s">
        <v>622</v>
      </c>
      <c r="C87" s="16" t="str">
        <f t="shared" si="6"/>
        <v>04-01M-WC</v>
      </c>
      <c r="D87" s="16" t="b">
        <f t="shared" si="3"/>
        <v>1</v>
      </c>
      <c r="E87" s="16">
        <v>8</v>
      </c>
      <c r="F87" s="17">
        <v>-76.397060999999994</v>
      </c>
      <c r="G87" s="17">
        <v>42.860402999999998</v>
      </c>
      <c r="H87">
        <v>1</v>
      </c>
      <c r="I87" t="s">
        <v>371</v>
      </c>
      <c r="J87" t="s">
        <v>366</v>
      </c>
      <c r="P87">
        <v>13</v>
      </c>
      <c r="Q87">
        <v>0</v>
      </c>
      <c r="R87" s="6" t="s">
        <v>357</v>
      </c>
      <c r="S87" s="6" t="s">
        <v>353</v>
      </c>
      <c r="U87" s="14" t="str">
        <f t="shared" si="4"/>
        <v>Y</v>
      </c>
    </row>
    <row r="88" spans="1:21" customFormat="1" x14ac:dyDescent="0.25">
      <c r="A88" t="s">
        <v>115</v>
      </c>
      <c r="B88" s="16" t="s">
        <v>623</v>
      </c>
      <c r="C88" s="16" t="str">
        <f t="shared" si="6"/>
        <v>04-02M-WA</v>
      </c>
      <c r="D88" s="16" t="b">
        <f t="shared" si="3"/>
        <v>1</v>
      </c>
      <c r="E88" s="16">
        <v>130</v>
      </c>
      <c r="F88" s="17">
        <v>-76.396862999999996</v>
      </c>
      <c r="G88" s="17">
        <v>42.860430000000001</v>
      </c>
      <c r="H88">
        <v>2</v>
      </c>
      <c r="I88" t="s">
        <v>371</v>
      </c>
      <c r="J88" t="s">
        <v>359</v>
      </c>
      <c r="P88">
        <v>141</v>
      </c>
      <c r="Q88">
        <v>1</v>
      </c>
      <c r="R88" s="6" t="s">
        <v>357</v>
      </c>
      <c r="S88" s="6" t="s">
        <v>354</v>
      </c>
      <c r="T88">
        <v>77</v>
      </c>
      <c r="U88" s="14" t="str">
        <f t="shared" si="4"/>
        <v>Y</v>
      </c>
    </row>
    <row r="89" spans="1:21" customFormat="1" x14ac:dyDescent="0.25">
      <c r="A89" t="s">
        <v>269</v>
      </c>
      <c r="B89" s="16" t="s">
        <v>624</v>
      </c>
      <c r="C89" s="16" t="str">
        <f t="shared" si="6"/>
        <v>04-02M-WB</v>
      </c>
      <c r="D89" s="16" t="b">
        <f t="shared" si="3"/>
        <v>1</v>
      </c>
      <c r="E89" s="16">
        <v>82</v>
      </c>
      <c r="F89" s="17">
        <v>-76.396862999999996</v>
      </c>
      <c r="G89" s="17">
        <v>42.860430000000001</v>
      </c>
      <c r="H89">
        <v>2</v>
      </c>
      <c r="I89" t="s">
        <v>371</v>
      </c>
      <c r="J89" t="s">
        <v>360</v>
      </c>
      <c r="P89">
        <v>93</v>
      </c>
      <c r="Q89">
        <v>0</v>
      </c>
      <c r="R89" s="6" t="s">
        <v>357</v>
      </c>
      <c r="S89" s="6" t="s">
        <v>354</v>
      </c>
      <c r="U89" s="14" t="str">
        <f t="shared" si="4"/>
        <v>Y</v>
      </c>
    </row>
    <row r="90" spans="1:21" customFormat="1" x14ac:dyDescent="0.25">
      <c r="A90" t="s">
        <v>116</v>
      </c>
      <c r="B90" s="16" t="s">
        <v>625</v>
      </c>
      <c r="C90" s="16" t="str">
        <f t="shared" si="6"/>
        <v>04-03M-EA</v>
      </c>
      <c r="D90" s="16" t="b">
        <f t="shared" si="3"/>
        <v>1</v>
      </c>
      <c r="E90" s="16">
        <v>362</v>
      </c>
      <c r="F90" s="17">
        <v>-76.360286000000002</v>
      </c>
      <c r="G90" s="17">
        <v>42.861507000000003</v>
      </c>
      <c r="H90">
        <v>3</v>
      </c>
      <c r="I90" t="s">
        <v>371</v>
      </c>
      <c r="J90" t="s">
        <v>359</v>
      </c>
      <c r="P90">
        <v>330</v>
      </c>
      <c r="Q90">
        <v>2</v>
      </c>
      <c r="R90" s="6" t="s">
        <v>352</v>
      </c>
      <c r="S90" s="6" t="s">
        <v>355</v>
      </c>
      <c r="T90">
        <v>233</v>
      </c>
      <c r="U90" s="14" t="str">
        <f t="shared" si="4"/>
        <v>Y</v>
      </c>
    </row>
    <row r="91" spans="1:21" customFormat="1" x14ac:dyDescent="0.25">
      <c r="A91" t="s">
        <v>270</v>
      </c>
      <c r="B91" s="16" t="s">
        <v>626</v>
      </c>
      <c r="C91" s="16" t="str">
        <f t="shared" si="6"/>
        <v>04-03M-EB</v>
      </c>
      <c r="D91" s="16" t="b">
        <f t="shared" si="3"/>
        <v>1</v>
      </c>
      <c r="E91" s="16">
        <v>438</v>
      </c>
      <c r="F91" s="17">
        <v>-76.360286000000002</v>
      </c>
      <c r="G91" s="17">
        <v>42.861507000000003</v>
      </c>
      <c r="H91">
        <v>3</v>
      </c>
      <c r="I91" t="s">
        <v>371</v>
      </c>
      <c r="J91" t="s">
        <v>360</v>
      </c>
      <c r="P91">
        <v>407</v>
      </c>
      <c r="Q91">
        <v>2</v>
      </c>
      <c r="R91" s="6" t="s">
        <v>352</v>
      </c>
      <c r="S91" s="6" t="s">
        <v>355</v>
      </c>
      <c r="U91" s="14" t="str">
        <f t="shared" si="4"/>
        <v>Y</v>
      </c>
    </row>
    <row r="92" spans="1:21" customFormat="1" x14ac:dyDescent="0.25">
      <c r="A92" t="s">
        <v>117</v>
      </c>
      <c r="B92" s="16" t="s">
        <v>627</v>
      </c>
      <c r="C92" s="16" t="str">
        <f t="shared" si="6"/>
        <v>04-03M-WA</v>
      </c>
      <c r="D92" s="16" t="b">
        <f t="shared" si="3"/>
        <v>1</v>
      </c>
      <c r="E92" s="16">
        <v>112</v>
      </c>
      <c r="F92" s="17">
        <v>-76.396591999999998</v>
      </c>
      <c r="G92" s="17">
        <v>42.860554999999998</v>
      </c>
      <c r="H92">
        <v>3</v>
      </c>
      <c r="I92" t="s">
        <v>371</v>
      </c>
      <c r="J92" t="s">
        <v>359</v>
      </c>
      <c r="P92">
        <v>82</v>
      </c>
      <c r="Q92">
        <v>1</v>
      </c>
      <c r="R92" s="6" t="s">
        <v>352</v>
      </c>
      <c r="S92" s="6" t="s">
        <v>354</v>
      </c>
      <c r="T92">
        <v>39</v>
      </c>
      <c r="U92" s="14" t="str">
        <f t="shared" si="4"/>
        <v>Y</v>
      </c>
    </row>
    <row r="93" spans="1:21" customFormat="1" x14ac:dyDescent="0.25">
      <c r="A93" t="s">
        <v>328</v>
      </c>
      <c r="B93" s="16" t="s">
        <v>628</v>
      </c>
      <c r="C93" s="16" t="str">
        <f t="shared" si="6"/>
        <v>04-03M-WB</v>
      </c>
      <c r="D93" s="16" t="b">
        <f t="shared" si="3"/>
        <v>1</v>
      </c>
      <c r="E93" s="16">
        <v>45</v>
      </c>
      <c r="F93" s="17">
        <v>-76.396591999999998</v>
      </c>
      <c r="G93" s="17">
        <v>42.860554999999998</v>
      </c>
      <c r="H93">
        <v>3</v>
      </c>
      <c r="I93" t="s">
        <v>371</v>
      </c>
      <c r="J93" t="s">
        <v>360</v>
      </c>
      <c r="P93">
        <v>32</v>
      </c>
      <c r="Q93">
        <v>0</v>
      </c>
      <c r="R93" s="6" t="s">
        <v>352</v>
      </c>
      <c r="S93" s="6" t="s">
        <v>356</v>
      </c>
      <c r="U93" s="14" t="str">
        <f t="shared" si="4"/>
        <v>Y</v>
      </c>
    </row>
    <row r="94" spans="1:21" customFormat="1" x14ac:dyDescent="0.25">
      <c r="A94" t="s">
        <v>118</v>
      </c>
      <c r="B94" s="16"/>
      <c r="C94" s="16"/>
      <c r="D94" s="16" t="str">
        <f t="shared" si="3"/>
        <v/>
      </c>
      <c r="E94" s="16"/>
      <c r="F94" s="17">
        <v>-76.361412999999999</v>
      </c>
      <c r="G94" s="17">
        <v>42.861387999999998</v>
      </c>
      <c r="H94">
        <v>5</v>
      </c>
      <c r="I94" t="s">
        <v>371</v>
      </c>
      <c r="J94" t="s">
        <v>359</v>
      </c>
      <c r="P94">
        <v>0</v>
      </c>
      <c r="Q94">
        <v>0</v>
      </c>
      <c r="R94" s="6" t="s">
        <v>352</v>
      </c>
      <c r="S94" s="6" t="s">
        <v>356</v>
      </c>
      <c r="T94">
        <v>526</v>
      </c>
      <c r="U94" s="14" t="str">
        <f t="shared" si="4"/>
        <v>Y</v>
      </c>
    </row>
    <row r="95" spans="1:21" customFormat="1" x14ac:dyDescent="0.25">
      <c r="A95" t="s">
        <v>329</v>
      </c>
      <c r="B95" s="16"/>
      <c r="C95" s="16"/>
      <c r="D95" s="16" t="str">
        <f t="shared" si="3"/>
        <v/>
      </c>
      <c r="E95" s="16"/>
      <c r="F95" s="17">
        <v>-76.361412999999999</v>
      </c>
      <c r="G95" s="17">
        <v>42.861387999999998</v>
      </c>
      <c r="H95">
        <v>5</v>
      </c>
      <c r="I95" t="s">
        <v>371</v>
      </c>
      <c r="J95" t="s">
        <v>360</v>
      </c>
      <c r="P95">
        <v>0</v>
      </c>
      <c r="Q95">
        <v>0</v>
      </c>
      <c r="R95" s="6" t="s">
        <v>352</v>
      </c>
      <c r="S95" s="6" t="s">
        <v>356</v>
      </c>
      <c r="U95" s="14" t="str">
        <f t="shared" si="4"/>
        <v>Y</v>
      </c>
    </row>
    <row r="96" spans="1:21" customFormat="1" x14ac:dyDescent="0.25">
      <c r="A96" t="s">
        <v>31</v>
      </c>
      <c r="B96" s="16"/>
      <c r="C96" s="16"/>
      <c r="D96" s="16" t="str">
        <f t="shared" si="3"/>
        <v/>
      </c>
      <c r="E96" s="16"/>
      <c r="F96" s="17">
        <v>-76.396331000000004</v>
      </c>
      <c r="G96" s="17">
        <v>42.860674000000003</v>
      </c>
      <c r="H96">
        <v>5</v>
      </c>
      <c r="I96" t="s">
        <v>371</v>
      </c>
      <c r="J96" t="s">
        <v>359</v>
      </c>
      <c r="K96">
        <v>16</v>
      </c>
      <c r="M96">
        <v>0</v>
      </c>
      <c r="P96">
        <v>0</v>
      </c>
      <c r="Q96">
        <v>0</v>
      </c>
      <c r="R96" s="6" t="s">
        <v>352</v>
      </c>
      <c r="S96" s="6" t="s">
        <v>356</v>
      </c>
      <c r="T96">
        <v>186</v>
      </c>
      <c r="U96" s="14" t="str">
        <f t="shared" si="4"/>
        <v>Y</v>
      </c>
    </row>
    <row r="97" spans="1:21" customFormat="1" x14ac:dyDescent="0.25">
      <c r="A97" t="s">
        <v>32</v>
      </c>
      <c r="B97" s="16"/>
      <c r="C97" s="16"/>
      <c r="D97" s="16" t="str">
        <f t="shared" si="3"/>
        <v/>
      </c>
      <c r="E97" s="16"/>
      <c r="F97" s="17">
        <v>-76.396331000000004</v>
      </c>
      <c r="G97" s="17">
        <v>42.860674000000003</v>
      </c>
      <c r="H97">
        <v>5</v>
      </c>
      <c r="I97" t="s">
        <v>371</v>
      </c>
      <c r="J97" t="s">
        <v>360</v>
      </c>
      <c r="K97">
        <v>54</v>
      </c>
      <c r="M97">
        <v>0</v>
      </c>
      <c r="P97">
        <v>0</v>
      </c>
      <c r="Q97">
        <v>0</v>
      </c>
      <c r="R97" s="6" t="s">
        <v>352</v>
      </c>
      <c r="S97" s="6" t="s">
        <v>356</v>
      </c>
      <c r="U97" s="14" t="str">
        <f t="shared" si="4"/>
        <v>Y</v>
      </c>
    </row>
    <row r="98" spans="1:21" customFormat="1" x14ac:dyDescent="0.25">
      <c r="A98" t="s">
        <v>119</v>
      </c>
      <c r="B98" s="16"/>
      <c r="C98" s="16"/>
      <c r="D98" s="16" t="str">
        <f t="shared" si="3"/>
        <v/>
      </c>
      <c r="E98" s="16"/>
      <c r="F98" s="17">
        <v>-76.361647000000005</v>
      </c>
      <c r="G98" s="17">
        <v>42.861142999999998</v>
      </c>
      <c r="H98">
        <v>8</v>
      </c>
      <c r="I98" t="s">
        <v>371</v>
      </c>
      <c r="J98" t="s">
        <v>359</v>
      </c>
      <c r="P98">
        <v>0</v>
      </c>
      <c r="Q98">
        <v>0</v>
      </c>
      <c r="R98" s="6" t="s">
        <v>352</v>
      </c>
      <c r="S98" s="6" t="s">
        <v>356</v>
      </c>
      <c r="T98">
        <v>628</v>
      </c>
      <c r="U98" s="14" t="str">
        <f t="shared" si="4"/>
        <v>Y</v>
      </c>
    </row>
    <row r="99" spans="1:21" customFormat="1" x14ac:dyDescent="0.25">
      <c r="A99" t="s">
        <v>330</v>
      </c>
      <c r="B99" s="16"/>
      <c r="C99" s="16"/>
      <c r="D99" s="16" t="str">
        <f t="shared" si="3"/>
        <v/>
      </c>
      <c r="E99" s="16"/>
      <c r="F99" s="17">
        <v>-76.361647000000005</v>
      </c>
      <c r="G99" s="17">
        <v>42.861142999999998</v>
      </c>
      <c r="H99">
        <v>8</v>
      </c>
      <c r="I99" t="s">
        <v>371</v>
      </c>
      <c r="J99" t="s">
        <v>360</v>
      </c>
      <c r="P99">
        <v>0</v>
      </c>
      <c r="Q99">
        <v>1</v>
      </c>
      <c r="R99" s="6" t="s">
        <v>352</v>
      </c>
      <c r="S99" s="6" t="s">
        <v>356</v>
      </c>
      <c r="U99" s="14" t="str">
        <f t="shared" si="4"/>
        <v>Y</v>
      </c>
    </row>
    <row r="100" spans="1:21" customFormat="1" x14ac:dyDescent="0.25">
      <c r="A100" t="s">
        <v>120</v>
      </c>
      <c r="B100" s="16" t="s">
        <v>629</v>
      </c>
      <c r="C100" s="16" t="str">
        <f t="shared" si="6"/>
        <v>04-08M-WA</v>
      </c>
      <c r="D100" s="16" t="b">
        <f t="shared" si="3"/>
        <v>1</v>
      </c>
      <c r="E100" s="16">
        <v>118</v>
      </c>
      <c r="F100" s="17">
        <v>-76.395853000000002</v>
      </c>
      <c r="G100" s="17">
        <v>42.861189000000003</v>
      </c>
      <c r="H100">
        <v>8</v>
      </c>
      <c r="I100" t="s">
        <v>371</v>
      </c>
      <c r="J100" t="s">
        <v>359</v>
      </c>
      <c r="P100">
        <v>90</v>
      </c>
      <c r="Q100">
        <v>1</v>
      </c>
      <c r="R100" s="6" t="s">
        <v>352</v>
      </c>
      <c r="S100" s="6" t="s">
        <v>355</v>
      </c>
      <c r="T100">
        <v>792</v>
      </c>
      <c r="U100" s="14" t="str">
        <f t="shared" si="4"/>
        <v>Y</v>
      </c>
    </row>
    <row r="101" spans="1:21" customFormat="1" x14ac:dyDescent="0.25">
      <c r="A101" t="s">
        <v>271</v>
      </c>
      <c r="B101" s="16" t="s">
        <v>630</v>
      </c>
      <c r="C101" s="16" t="str">
        <f t="shared" si="6"/>
        <v>04-08M-WB</v>
      </c>
      <c r="D101" s="16" t="b">
        <f t="shared" si="3"/>
        <v>1</v>
      </c>
      <c r="E101" s="16">
        <v>106</v>
      </c>
      <c r="F101" s="17">
        <v>-76.395853000000002</v>
      </c>
      <c r="G101" s="17">
        <v>42.861189000000003</v>
      </c>
      <c r="H101">
        <v>8</v>
      </c>
      <c r="I101" t="s">
        <v>371</v>
      </c>
      <c r="J101" t="s">
        <v>360</v>
      </c>
      <c r="P101">
        <v>86</v>
      </c>
      <c r="Q101">
        <v>1</v>
      </c>
      <c r="R101" s="6" t="s">
        <v>352</v>
      </c>
      <c r="S101" s="6" t="s">
        <v>355</v>
      </c>
      <c r="U101" s="14" t="str">
        <f t="shared" si="4"/>
        <v>Y</v>
      </c>
    </row>
    <row r="102" spans="1:21" customFormat="1" x14ac:dyDescent="0.25">
      <c r="A102" t="s">
        <v>121</v>
      </c>
      <c r="B102" s="16" t="s">
        <v>631</v>
      </c>
      <c r="C102" s="16" t="str">
        <f t="shared" si="6"/>
        <v>04-10M-EA</v>
      </c>
      <c r="D102" s="16" t="b">
        <f t="shared" si="3"/>
        <v>1</v>
      </c>
      <c r="E102" s="16">
        <v>337</v>
      </c>
      <c r="F102" s="17">
        <v>-76.361936</v>
      </c>
      <c r="G102" s="17">
        <v>42.861255999999997</v>
      </c>
      <c r="H102">
        <v>10</v>
      </c>
      <c r="I102" t="s">
        <v>371</v>
      </c>
      <c r="J102" t="s">
        <v>359</v>
      </c>
      <c r="P102">
        <v>300</v>
      </c>
      <c r="Q102">
        <v>2</v>
      </c>
      <c r="R102" s="6" t="s">
        <v>352</v>
      </c>
      <c r="S102" s="6" t="s">
        <v>355</v>
      </c>
      <c r="T102">
        <v>597</v>
      </c>
      <c r="U102" s="14" t="str">
        <f t="shared" si="4"/>
        <v>Y</v>
      </c>
    </row>
    <row r="103" spans="1:21" customFormat="1" x14ac:dyDescent="0.25">
      <c r="A103" t="s">
        <v>272</v>
      </c>
      <c r="B103" s="16" t="s">
        <v>632</v>
      </c>
      <c r="C103" s="16" t="str">
        <f t="shared" si="6"/>
        <v>04-10M-EB</v>
      </c>
      <c r="D103" s="16" t="b">
        <f t="shared" ref="D103" si="7">IF(B103="","",C103=A103)</f>
        <v>1</v>
      </c>
      <c r="E103" s="16">
        <v>164</v>
      </c>
      <c r="F103" s="17">
        <v>-76.361936</v>
      </c>
      <c r="G103" s="17">
        <v>42.861255999999997</v>
      </c>
      <c r="H103">
        <v>10</v>
      </c>
      <c r="I103" t="s">
        <v>371</v>
      </c>
      <c r="J103" t="s">
        <v>360</v>
      </c>
      <c r="P103">
        <v>120</v>
      </c>
      <c r="Q103">
        <v>1</v>
      </c>
      <c r="R103" s="6" t="s">
        <v>352</v>
      </c>
      <c r="S103" s="6" t="s">
        <v>354</v>
      </c>
      <c r="U103" s="14" t="str">
        <f t="shared" si="4"/>
        <v>Y</v>
      </c>
    </row>
    <row r="104" spans="1:21" customFormat="1" x14ac:dyDescent="0.25">
      <c r="A104" t="s">
        <v>243</v>
      </c>
      <c r="B104" s="16" t="s">
        <v>633</v>
      </c>
      <c r="C104" s="16" t="str">
        <f t="shared" si="6"/>
        <v>04-11M-WA</v>
      </c>
      <c r="D104" s="16" t="b">
        <f t="shared" si="3"/>
        <v>1</v>
      </c>
      <c r="E104" s="16">
        <v>78</v>
      </c>
      <c r="F104" s="17">
        <v>-76.394419999999997</v>
      </c>
      <c r="G104" s="17">
        <v>42.861381000000002</v>
      </c>
      <c r="H104">
        <v>11</v>
      </c>
      <c r="I104" t="s">
        <v>371</v>
      </c>
      <c r="J104" t="s">
        <v>359</v>
      </c>
      <c r="P104">
        <v>91</v>
      </c>
      <c r="Q104">
        <v>1</v>
      </c>
      <c r="R104" s="6" t="s">
        <v>352</v>
      </c>
      <c r="S104" s="6" t="s">
        <v>355</v>
      </c>
      <c r="T104">
        <v>0</v>
      </c>
      <c r="U104" s="14" t="str">
        <f t="shared" si="4"/>
        <v>Y</v>
      </c>
    </row>
    <row r="105" spans="1:21" customFormat="1" x14ac:dyDescent="0.25">
      <c r="A105" t="s">
        <v>273</v>
      </c>
      <c r="B105" s="16" t="s">
        <v>634</v>
      </c>
      <c r="C105" s="16" t="str">
        <f t="shared" si="6"/>
        <v>04-11M-WB</v>
      </c>
      <c r="D105" s="16" t="b">
        <f t="shared" ref="D105:D127" si="8">IF(B105="","",C105=A105)</f>
        <v>1</v>
      </c>
      <c r="E105" s="16">
        <v>81</v>
      </c>
      <c r="F105" s="17">
        <v>-76.394419999999997</v>
      </c>
      <c r="G105" s="17">
        <v>42.861381000000002</v>
      </c>
      <c r="H105">
        <v>11</v>
      </c>
      <c r="I105" t="s">
        <v>371</v>
      </c>
      <c r="J105" t="s">
        <v>360</v>
      </c>
      <c r="P105">
        <v>94</v>
      </c>
      <c r="Q105">
        <v>0</v>
      </c>
      <c r="R105" s="6" t="s">
        <v>352</v>
      </c>
      <c r="S105" s="6" t="s">
        <v>355</v>
      </c>
      <c r="U105" s="14" t="str">
        <f t="shared" si="4"/>
        <v>Y</v>
      </c>
    </row>
    <row r="106" spans="1:21" customFormat="1" x14ac:dyDescent="0.25">
      <c r="A106" t="s">
        <v>122</v>
      </c>
      <c r="B106" s="16" t="s">
        <v>635</v>
      </c>
      <c r="C106" s="16" t="str">
        <f t="shared" si="6"/>
        <v>04-13M-EA</v>
      </c>
      <c r="D106" s="16" t="b">
        <f t="shared" si="8"/>
        <v>1</v>
      </c>
      <c r="E106" s="16">
        <v>88</v>
      </c>
      <c r="F106" s="17">
        <v>-76.362143000000003</v>
      </c>
      <c r="G106" s="17">
        <v>42.861348</v>
      </c>
      <c r="H106">
        <v>13</v>
      </c>
      <c r="I106" t="s">
        <v>371</v>
      </c>
      <c r="J106" t="s">
        <v>359</v>
      </c>
      <c r="P106">
        <v>73</v>
      </c>
      <c r="Q106">
        <v>1</v>
      </c>
      <c r="R106" s="6" t="s">
        <v>352</v>
      </c>
      <c r="S106" s="6" t="s">
        <v>355</v>
      </c>
      <c r="T106">
        <v>239</v>
      </c>
      <c r="U106" s="14" t="str">
        <f t="shared" si="4"/>
        <v>Y</v>
      </c>
    </row>
    <row r="107" spans="1:21" customFormat="1" x14ac:dyDescent="0.25">
      <c r="A107" t="s">
        <v>274</v>
      </c>
      <c r="B107" s="16"/>
      <c r="C107" s="16"/>
      <c r="D107" s="16" t="str">
        <f t="shared" si="8"/>
        <v/>
      </c>
      <c r="E107" s="16"/>
      <c r="F107" s="17">
        <v>-76.362143000000003</v>
      </c>
      <c r="G107" s="17">
        <v>42.861348</v>
      </c>
      <c r="H107">
        <v>13</v>
      </c>
      <c r="I107" t="s">
        <v>371</v>
      </c>
      <c r="J107" t="s">
        <v>360</v>
      </c>
      <c r="P107">
        <v>59</v>
      </c>
      <c r="Q107">
        <v>1</v>
      </c>
      <c r="R107" s="6" t="s">
        <v>352</v>
      </c>
      <c r="S107" s="6" t="s">
        <v>355</v>
      </c>
      <c r="U107" s="14" t="str">
        <f t="shared" si="4"/>
        <v>Y</v>
      </c>
    </row>
    <row r="108" spans="1:21" customFormat="1" x14ac:dyDescent="0.25">
      <c r="A108" t="s">
        <v>123</v>
      </c>
      <c r="B108" s="16" t="s">
        <v>636</v>
      </c>
      <c r="C108" s="16" t="str">
        <f t="shared" si="6"/>
        <v>04-14M-WA</v>
      </c>
      <c r="D108" s="16" t="b">
        <f t="shared" si="8"/>
        <v>1</v>
      </c>
      <c r="E108" s="16">
        <v>34</v>
      </c>
      <c r="F108" s="17">
        <v>-76.394076999999996</v>
      </c>
      <c r="G108" s="17">
        <v>42.861355000000003</v>
      </c>
      <c r="H108">
        <v>14</v>
      </c>
      <c r="I108" t="s">
        <v>371</v>
      </c>
      <c r="J108" t="s">
        <v>359</v>
      </c>
      <c r="N108" s="9"/>
      <c r="O108" s="9"/>
      <c r="P108">
        <v>38</v>
      </c>
      <c r="Q108">
        <v>1</v>
      </c>
      <c r="R108" s="6" t="s">
        <v>352</v>
      </c>
      <c r="S108" s="6" t="s">
        <v>355</v>
      </c>
      <c r="T108">
        <v>194</v>
      </c>
      <c r="U108" s="14" t="str">
        <f t="shared" si="4"/>
        <v>Y</v>
      </c>
    </row>
    <row r="109" spans="1:21" customFormat="1" x14ac:dyDescent="0.25">
      <c r="A109" t="s">
        <v>275</v>
      </c>
      <c r="B109" s="16" t="s">
        <v>637</v>
      </c>
      <c r="C109" s="16" t="str">
        <f t="shared" si="6"/>
        <v>04-14M-WB</v>
      </c>
      <c r="D109" s="16" t="b">
        <f t="shared" si="8"/>
        <v>1</v>
      </c>
      <c r="E109" s="16">
        <v>57</v>
      </c>
      <c r="F109" s="17">
        <v>-76.394076999999996</v>
      </c>
      <c r="G109" s="17">
        <v>42.861355000000003</v>
      </c>
      <c r="H109">
        <v>14</v>
      </c>
      <c r="I109" t="s">
        <v>371</v>
      </c>
      <c r="J109" t="s">
        <v>360</v>
      </c>
      <c r="P109">
        <v>59</v>
      </c>
      <c r="Q109">
        <v>1</v>
      </c>
      <c r="R109" s="6" t="s">
        <v>352</v>
      </c>
      <c r="S109" s="6" t="s">
        <v>355</v>
      </c>
      <c r="U109" s="14" t="str">
        <f t="shared" si="4"/>
        <v>Y</v>
      </c>
    </row>
    <row r="110" spans="1:21" customFormat="1" x14ac:dyDescent="0.25">
      <c r="A110" t="s">
        <v>124</v>
      </c>
      <c r="B110" s="16" t="s">
        <v>638</v>
      </c>
      <c r="C110" s="16" t="str">
        <f t="shared" si="6"/>
        <v>04-17M-EA</v>
      </c>
      <c r="D110" s="16" t="b">
        <f t="shared" si="8"/>
        <v>1</v>
      </c>
      <c r="E110" s="16">
        <v>114</v>
      </c>
      <c r="F110" s="17">
        <v>-76.362260000000006</v>
      </c>
      <c r="G110" s="17">
        <v>42.861367999999999</v>
      </c>
      <c r="H110">
        <v>17</v>
      </c>
      <c r="I110" t="s">
        <v>371</v>
      </c>
      <c r="J110" t="s">
        <v>359</v>
      </c>
      <c r="P110">
        <v>91</v>
      </c>
      <c r="Q110">
        <v>0</v>
      </c>
      <c r="R110" s="6" t="s">
        <v>352</v>
      </c>
      <c r="S110" s="6" t="s">
        <v>355</v>
      </c>
      <c r="T110">
        <v>558</v>
      </c>
      <c r="U110" s="14" t="str">
        <f t="shared" si="4"/>
        <v>Y</v>
      </c>
    </row>
    <row r="111" spans="1:21" customFormat="1" x14ac:dyDescent="0.25">
      <c r="A111" t="s">
        <v>276</v>
      </c>
      <c r="B111" s="16" t="s">
        <v>639</v>
      </c>
      <c r="C111" s="16" t="str">
        <f t="shared" si="6"/>
        <v>04-17M-EB</v>
      </c>
      <c r="D111" s="16" t="b">
        <f t="shared" si="8"/>
        <v>1</v>
      </c>
      <c r="E111" s="16">
        <v>48</v>
      </c>
      <c r="F111" s="17">
        <v>-76.362260000000006</v>
      </c>
      <c r="G111" s="17">
        <v>42.861367999999999</v>
      </c>
      <c r="H111">
        <v>17</v>
      </c>
      <c r="I111" t="s">
        <v>371</v>
      </c>
      <c r="J111" t="s">
        <v>360</v>
      </c>
      <c r="P111">
        <v>56</v>
      </c>
      <c r="Q111">
        <v>2</v>
      </c>
      <c r="R111" s="6" t="s">
        <v>352</v>
      </c>
      <c r="S111" s="6" t="s">
        <v>355</v>
      </c>
      <c r="U111" s="14" t="str">
        <f t="shared" si="4"/>
        <v>Y</v>
      </c>
    </row>
    <row r="112" spans="1:21" customFormat="1" x14ac:dyDescent="0.25">
      <c r="A112" t="s">
        <v>125</v>
      </c>
      <c r="B112" s="16" t="s">
        <v>640</v>
      </c>
      <c r="C112" s="16" t="str">
        <f t="shared" si="6"/>
        <v>04-17M-WA</v>
      </c>
      <c r="D112" s="16" t="b">
        <f t="shared" si="8"/>
        <v>1</v>
      </c>
      <c r="E112" s="16">
        <v>394</v>
      </c>
      <c r="F112" s="17">
        <v>-76.392347000000001</v>
      </c>
      <c r="G112" s="17">
        <v>42.861241999999997</v>
      </c>
      <c r="H112">
        <v>17</v>
      </c>
      <c r="I112" t="s">
        <v>371</v>
      </c>
      <c r="J112" t="s">
        <v>359</v>
      </c>
      <c r="P112">
        <v>299</v>
      </c>
      <c r="Q112">
        <v>2</v>
      </c>
      <c r="R112" s="6" t="s">
        <v>352</v>
      </c>
      <c r="S112" s="6" t="s">
        <v>355</v>
      </c>
      <c r="T112">
        <v>48</v>
      </c>
      <c r="U112" s="14" t="str">
        <f t="shared" si="4"/>
        <v>Y</v>
      </c>
    </row>
    <row r="113" spans="1:21" customFormat="1" x14ac:dyDescent="0.25">
      <c r="A113" t="s">
        <v>277</v>
      </c>
      <c r="B113" s="16" t="s">
        <v>641</v>
      </c>
      <c r="C113" s="16" t="str">
        <f t="shared" si="6"/>
        <v>04-17M-WB</v>
      </c>
      <c r="D113" s="16" t="b">
        <f t="shared" si="8"/>
        <v>1</v>
      </c>
      <c r="E113" s="16">
        <v>371</v>
      </c>
      <c r="F113" s="17">
        <v>-76.392347000000001</v>
      </c>
      <c r="G113" s="17">
        <v>42.861241999999997</v>
      </c>
      <c r="H113">
        <v>17</v>
      </c>
      <c r="I113" t="s">
        <v>371</v>
      </c>
      <c r="J113" t="s">
        <v>360</v>
      </c>
      <c r="P113">
        <v>305</v>
      </c>
      <c r="Q113">
        <v>2</v>
      </c>
      <c r="R113" s="6" t="s">
        <v>352</v>
      </c>
      <c r="S113" s="6" t="s">
        <v>355</v>
      </c>
      <c r="U113" s="14" t="str">
        <f t="shared" si="4"/>
        <v>Y</v>
      </c>
    </row>
    <row r="114" spans="1:21" customFormat="1" x14ac:dyDescent="0.25">
      <c r="A114" t="s">
        <v>126</v>
      </c>
      <c r="B114" s="16"/>
      <c r="C114" s="16"/>
      <c r="D114" s="16" t="str">
        <f t="shared" si="8"/>
        <v/>
      </c>
      <c r="E114" s="16"/>
      <c r="F114" s="17">
        <v>-76.391686945368605</v>
      </c>
      <c r="G114" s="17">
        <v>42.861189681781298</v>
      </c>
      <c r="H114">
        <v>20</v>
      </c>
      <c r="I114" t="s">
        <v>371</v>
      </c>
      <c r="J114" t="s">
        <v>359</v>
      </c>
      <c r="R114" s="6"/>
      <c r="S114" s="6"/>
      <c r="T114">
        <v>6</v>
      </c>
      <c r="U114" s="14" t="str">
        <f t="shared" si="4"/>
        <v/>
      </c>
    </row>
    <row r="115" spans="1:21" customFormat="1" x14ac:dyDescent="0.25">
      <c r="A115" t="s">
        <v>127</v>
      </c>
      <c r="B115" s="16" t="s">
        <v>642</v>
      </c>
      <c r="C115" s="16" t="str">
        <f t="shared" si="6"/>
        <v>04-21M-EA</v>
      </c>
      <c r="D115" s="16" t="b">
        <f t="shared" si="8"/>
        <v>1</v>
      </c>
      <c r="E115" s="16">
        <v>426</v>
      </c>
      <c r="F115" s="17">
        <v>-76.362403999999998</v>
      </c>
      <c r="G115" s="17">
        <v>42.861474000000001</v>
      </c>
      <c r="H115">
        <v>21</v>
      </c>
      <c r="I115" t="s">
        <v>371</v>
      </c>
      <c r="J115" t="s">
        <v>359</v>
      </c>
      <c r="P115">
        <v>384</v>
      </c>
      <c r="Q115">
        <v>1</v>
      </c>
      <c r="R115" s="6" t="s">
        <v>352</v>
      </c>
      <c r="S115" s="6" t="s">
        <v>355</v>
      </c>
      <c r="T115">
        <v>729</v>
      </c>
      <c r="U115" s="14" t="str">
        <f t="shared" si="4"/>
        <v>Y</v>
      </c>
    </row>
    <row r="116" spans="1:21" customFormat="1" x14ac:dyDescent="0.25">
      <c r="A116" t="s">
        <v>128</v>
      </c>
      <c r="B116" s="16" t="s">
        <v>643</v>
      </c>
      <c r="C116" s="16" t="str">
        <f t="shared" si="6"/>
        <v>04-22M-EA</v>
      </c>
      <c r="D116" s="16" t="b">
        <f t="shared" si="8"/>
        <v>1</v>
      </c>
      <c r="E116" s="16">
        <v>332</v>
      </c>
      <c r="F116" s="17">
        <v>-76.362684000000002</v>
      </c>
      <c r="G116" s="17">
        <v>42.861790999999997</v>
      </c>
      <c r="H116">
        <v>22</v>
      </c>
      <c r="I116" t="s">
        <v>371</v>
      </c>
      <c r="J116" t="s">
        <v>359</v>
      </c>
      <c r="P116">
        <v>294</v>
      </c>
      <c r="Q116">
        <v>0</v>
      </c>
      <c r="R116" s="6" t="s">
        <v>352</v>
      </c>
      <c r="S116" s="6" t="s">
        <v>355</v>
      </c>
      <c r="T116">
        <v>332</v>
      </c>
      <c r="U116" s="14" t="str">
        <f t="shared" si="4"/>
        <v>Y</v>
      </c>
    </row>
    <row r="117" spans="1:21" customFormat="1" x14ac:dyDescent="0.25">
      <c r="A117" t="s">
        <v>129</v>
      </c>
      <c r="B117" s="16"/>
      <c r="C117" s="16"/>
      <c r="D117" s="16" t="str">
        <f t="shared" si="8"/>
        <v/>
      </c>
      <c r="E117" s="16"/>
      <c r="F117" s="17">
        <v>-76.362684000000002</v>
      </c>
      <c r="G117" s="17">
        <v>42.861790999999997</v>
      </c>
      <c r="H117">
        <v>22</v>
      </c>
      <c r="I117" t="s">
        <v>371</v>
      </c>
      <c r="J117" t="s">
        <v>360</v>
      </c>
      <c r="R117" s="6"/>
      <c r="S117" s="6"/>
      <c r="T117">
        <v>212</v>
      </c>
      <c r="U117" s="14" t="str">
        <f t="shared" si="4"/>
        <v/>
      </c>
    </row>
    <row r="118" spans="1:21" customFormat="1" x14ac:dyDescent="0.25">
      <c r="A118" t="s">
        <v>130</v>
      </c>
      <c r="B118" s="16" t="s">
        <v>644</v>
      </c>
      <c r="C118" s="16" t="str">
        <f t="shared" si="6"/>
        <v>04-22M-WA</v>
      </c>
      <c r="D118" s="16" t="b">
        <f t="shared" si="8"/>
        <v>1</v>
      </c>
      <c r="E118" s="16">
        <v>275</v>
      </c>
      <c r="F118" s="17">
        <v>-76.391381999999993</v>
      </c>
      <c r="G118" s="17">
        <v>42.861215999999999</v>
      </c>
      <c r="H118">
        <v>22</v>
      </c>
      <c r="I118" t="s">
        <v>371</v>
      </c>
      <c r="J118" t="s">
        <v>359</v>
      </c>
      <c r="P118">
        <v>206</v>
      </c>
      <c r="Q118">
        <v>2</v>
      </c>
      <c r="R118" s="6" t="s">
        <v>352</v>
      </c>
      <c r="S118" s="6" t="s">
        <v>355</v>
      </c>
      <c r="T118">
        <v>358</v>
      </c>
      <c r="U118" s="14" t="str">
        <f t="shared" si="4"/>
        <v>Y</v>
      </c>
    </row>
    <row r="119" spans="1:21" customFormat="1" x14ac:dyDescent="0.25">
      <c r="A119" t="s">
        <v>278</v>
      </c>
      <c r="B119" s="16" t="s">
        <v>645</v>
      </c>
      <c r="C119" s="16" t="str">
        <f t="shared" si="6"/>
        <v>04-22M-WB</v>
      </c>
      <c r="D119" s="16" t="b">
        <f t="shared" si="8"/>
        <v>1</v>
      </c>
      <c r="E119" s="16">
        <v>246</v>
      </c>
      <c r="F119" s="17">
        <v>-76.391381999999993</v>
      </c>
      <c r="G119" s="17">
        <v>42.861215999999999</v>
      </c>
      <c r="H119">
        <v>22</v>
      </c>
      <c r="I119" t="s">
        <v>371</v>
      </c>
      <c r="J119" t="s">
        <v>360</v>
      </c>
      <c r="P119">
        <v>208</v>
      </c>
      <c r="Q119">
        <v>2</v>
      </c>
      <c r="R119" s="6" t="s">
        <v>352</v>
      </c>
      <c r="S119" s="6" t="s">
        <v>355</v>
      </c>
      <c r="U119" s="14" t="str">
        <f t="shared" si="4"/>
        <v>Y</v>
      </c>
    </row>
    <row r="120" spans="1:21" customFormat="1" x14ac:dyDescent="0.25">
      <c r="A120" t="s">
        <v>131</v>
      </c>
      <c r="B120" s="16" t="s">
        <v>646</v>
      </c>
      <c r="C120" s="16" t="str">
        <f t="shared" si="6"/>
        <v>04-24M-WA</v>
      </c>
      <c r="D120" s="16" t="b">
        <f t="shared" si="8"/>
        <v>1</v>
      </c>
      <c r="E120" s="16">
        <v>236</v>
      </c>
      <c r="F120" s="17">
        <v>-76.390788000000001</v>
      </c>
      <c r="G120" s="17">
        <v>42.861302000000002</v>
      </c>
      <c r="H120">
        <v>24</v>
      </c>
      <c r="I120" t="s">
        <v>371</v>
      </c>
      <c r="J120" t="s">
        <v>359</v>
      </c>
      <c r="P120">
        <v>178</v>
      </c>
      <c r="Q120">
        <v>1</v>
      </c>
      <c r="R120" s="6" t="s">
        <v>352</v>
      </c>
      <c r="S120" s="6" t="s">
        <v>355</v>
      </c>
      <c r="T120">
        <v>102</v>
      </c>
      <c r="U120" s="14" t="str">
        <f t="shared" si="4"/>
        <v>Y</v>
      </c>
    </row>
    <row r="121" spans="1:21" customFormat="1" x14ac:dyDescent="0.25">
      <c r="A121" t="s">
        <v>132</v>
      </c>
      <c r="B121" s="16" t="s">
        <v>647</v>
      </c>
      <c r="C121" s="16" t="str">
        <f t="shared" si="6"/>
        <v>04-31M-EA</v>
      </c>
      <c r="D121" s="16" t="b">
        <f t="shared" si="8"/>
        <v>1</v>
      </c>
      <c r="E121" s="16">
        <v>358</v>
      </c>
      <c r="F121" s="17">
        <v>-76.362836999999999</v>
      </c>
      <c r="G121" s="17">
        <v>42.861255999999997</v>
      </c>
      <c r="H121">
        <v>31</v>
      </c>
      <c r="I121" t="s">
        <v>371</v>
      </c>
      <c r="J121" t="s">
        <v>359</v>
      </c>
      <c r="P121">
        <v>318</v>
      </c>
      <c r="Q121">
        <v>2</v>
      </c>
      <c r="R121" s="6" t="s">
        <v>352</v>
      </c>
      <c r="S121" s="6" t="s">
        <v>355</v>
      </c>
      <c r="T121">
        <v>89</v>
      </c>
      <c r="U121" s="14" t="str">
        <f t="shared" si="4"/>
        <v>Y</v>
      </c>
    </row>
    <row r="122" spans="1:21" customFormat="1" x14ac:dyDescent="0.25">
      <c r="A122" t="s">
        <v>133</v>
      </c>
      <c r="B122" s="16" t="s">
        <v>648</v>
      </c>
      <c r="C122" s="16" t="str">
        <f t="shared" si="6"/>
        <v>04-31M-WA</v>
      </c>
      <c r="D122" s="16" t="b">
        <f t="shared" si="8"/>
        <v>1</v>
      </c>
      <c r="E122" s="16">
        <v>142</v>
      </c>
      <c r="F122" s="17">
        <v>-76.389706000000004</v>
      </c>
      <c r="G122" s="17">
        <v>42.861209000000002</v>
      </c>
      <c r="H122">
        <v>31</v>
      </c>
      <c r="I122" t="s">
        <v>371</v>
      </c>
      <c r="J122" t="s">
        <v>359</v>
      </c>
      <c r="P122">
        <v>149</v>
      </c>
      <c r="Q122">
        <v>1</v>
      </c>
      <c r="R122" s="6" t="s">
        <v>352</v>
      </c>
      <c r="S122" s="6" t="s">
        <v>355</v>
      </c>
      <c r="T122">
        <v>101</v>
      </c>
      <c r="U122" s="14" t="str">
        <f t="shared" si="4"/>
        <v>Y</v>
      </c>
    </row>
    <row r="123" spans="1:21" customFormat="1" x14ac:dyDescent="0.25">
      <c r="A123" t="s">
        <v>134</v>
      </c>
      <c r="B123" s="16" t="s">
        <v>649</v>
      </c>
      <c r="C123" s="16" t="str">
        <f t="shared" si="6"/>
        <v>04-38M-EA</v>
      </c>
      <c r="D123" s="16" t="b">
        <f t="shared" si="8"/>
        <v>1</v>
      </c>
      <c r="E123" s="16">
        <v>288</v>
      </c>
      <c r="F123" s="17">
        <v>-76.363459000000006</v>
      </c>
      <c r="G123" s="17">
        <v>42.861282000000003</v>
      </c>
      <c r="H123">
        <v>38</v>
      </c>
      <c r="I123" t="s">
        <v>371</v>
      </c>
      <c r="J123" t="s">
        <v>359</v>
      </c>
      <c r="P123">
        <v>250</v>
      </c>
      <c r="Q123">
        <v>2</v>
      </c>
      <c r="R123" s="6" t="s">
        <v>352</v>
      </c>
      <c r="S123" s="6" t="s">
        <v>355</v>
      </c>
      <c r="T123">
        <v>117</v>
      </c>
      <c r="U123" s="14" t="str">
        <f t="shared" si="4"/>
        <v>Y</v>
      </c>
    </row>
    <row r="124" spans="1:21" customFormat="1" x14ac:dyDescent="0.25">
      <c r="A124" t="s">
        <v>135</v>
      </c>
      <c r="B124" s="16" t="s">
        <v>650</v>
      </c>
      <c r="C124" s="16" t="str">
        <f t="shared" si="6"/>
        <v>04-38M-WA</v>
      </c>
      <c r="D124" s="16" t="b">
        <f t="shared" si="8"/>
        <v>1</v>
      </c>
      <c r="E124" s="16">
        <v>144</v>
      </c>
      <c r="F124" s="17">
        <v>-76.388642000000004</v>
      </c>
      <c r="G124" s="17">
        <v>42.861122999999999</v>
      </c>
      <c r="H124">
        <v>38</v>
      </c>
      <c r="I124" t="s">
        <v>371</v>
      </c>
      <c r="J124" t="s">
        <v>359</v>
      </c>
      <c r="P124">
        <v>155</v>
      </c>
      <c r="Q124">
        <v>2</v>
      </c>
      <c r="R124" s="6" t="s">
        <v>352</v>
      </c>
      <c r="S124" s="6" t="s">
        <v>355</v>
      </c>
      <c r="T124">
        <v>102</v>
      </c>
      <c r="U124" s="14" t="str">
        <f t="shared" si="4"/>
        <v>Y</v>
      </c>
    </row>
    <row r="125" spans="1:21" customFormat="1" x14ac:dyDescent="0.25">
      <c r="A125" t="s">
        <v>136</v>
      </c>
      <c r="B125" s="16" t="s">
        <v>651</v>
      </c>
      <c r="C125" s="16" t="str">
        <f t="shared" si="6"/>
        <v>04-38M-WB</v>
      </c>
      <c r="D125" s="16" t="b">
        <f t="shared" si="8"/>
        <v>1</v>
      </c>
      <c r="E125" s="16">
        <v>154</v>
      </c>
      <c r="F125" s="17">
        <v>-76.389706000000004</v>
      </c>
      <c r="G125" s="17">
        <v>42.861209000000002</v>
      </c>
      <c r="H125">
        <v>38</v>
      </c>
      <c r="I125" t="s">
        <v>371</v>
      </c>
      <c r="J125" t="s">
        <v>360</v>
      </c>
      <c r="P125">
        <v>172</v>
      </c>
      <c r="Q125">
        <v>2</v>
      </c>
      <c r="R125" s="6" t="s">
        <v>352</v>
      </c>
      <c r="S125" s="6" t="s">
        <v>355</v>
      </c>
      <c r="T125">
        <v>61</v>
      </c>
      <c r="U125" s="14" t="str">
        <f t="shared" si="4"/>
        <v>Y</v>
      </c>
    </row>
    <row r="126" spans="1:21" customFormat="1" x14ac:dyDescent="0.25">
      <c r="A126" t="s">
        <v>137</v>
      </c>
      <c r="B126" s="16" t="s">
        <v>652</v>
      </c>
      <c r="C126" s="16" t="str">
        <f t="shared" si="6"/>
        <v>04-43M-WA</v>
      </c>
      <c r="D126" s="16" t="b">
        <f t="shared" si="8"/>
        <v>1</v>
      </c>
      <c r="E126" s="16">
        <v>134</v>
      </c>
      <c r="F126" s="17">
        <v>-76.387677999999994</v>
      </c>
      <c r="G126" s="17">
        <v>42.861196</v>
      </c>
      <c r="H126">
        <v>43</v>
      </c>
      <c r="I126" t="s">
        <v>371</v>
      </c>
      <c r="J126" t="s">
        <v>359</v>
      </c>
      <c r="P126">
        <v>123</v>
      </c>
      <c r="Q126">
        <v>2</v>
      </c>
      <c r="R126" s="6" t="s">
        <v>352</v>
      </c>
      <c r="S126" s="6" t="s">
        <v>355</v>
      </c>
      <c r="T126">
        <v>111</v>
      </c>
      <c r="U126" s="14" t="str">
        <f t="shared" si="4"/>
        <v>Y</v>
      </c>
    </row>
    <row r="127" spans="1:21" customFormat="1" x14ac:dyDescent="0.25">
      <c r="A127" t="s">
        <v>138</v>
      </c>
      <c r="B127" s="16" t="s">
        <v>653</v>
      </c>
      <c r="C127" s="16" t="str">
        <f t="shared" si="6"/>
        <v>04-46M-EA</v>
      </c>
      <c r="D127" s="16" t="b">
        <f t="shared" si="8"/>
        <v>1</v>
      </c>
      <c r="E127" s="16">
        <v>271</v>
      </c>
      <c r="F127" s="17">
        <v>-76.363928000000001</v>
      </c>
      <c r="G127" s="17">
        <v>42.861196</v>
      </c>
      <c r="H127">
        <v>46</v>
      </c>
      <c r="I127" t="s">
        <v>371</v>
      </c>
      <c r="J127" t="s">
        <v>359</v>
      </c>
      <c r="P127">
        <v>225</v>
      </c>
      <c r="Q127">
        <v>2</v>
      </c>
      <c r="R127" s="6" t="s">
        <v>352</v>
      </c>
      <c r="S127" s="6" t="s">
        <v>355</v>
      </c>
      <c r="T127">
        <v>312</v>
      </c>
      <c r="U127" s="14" t="str">
        <f t="shared" si="4"/>
        <v>Y</v>
      </c>
    </row>
    <row r="128" spans="1:21" customFormat="1" x14ac:dyDescent="0.25">
      <c r="A128" t="s">
        <v>139</v>
      </c>
      <c r="B128" s="16" t="s">
        <v>654</v>
      </c>
      <c r="C128" s="16" t="str">
        <f t="shared" ref="C128:C222" si="9">UPPER(RIGHT(B128,9))</f>
        <v>04-52M-EA</v>
      </c>
      <c r="D128" s="16" t="b">
        <f t="shared" ref="D128:D191" si="10">IF(B128="","",C128=A128)</f>
        <v>1</v>
      </c>
      <c r="E128" s="16">
        <v>262</v>
      </c>
      <c r="F128" s="17">
        <v>-76.364478000000005</v>
      </c>
      <c r="G128" s="17">
        <v>42.861229000000002</v>
      </c>
      <c r="H128">
        <v>52</v>
      </c>
      <c r="I128" t="s">
        <v>371</v>
      </c>
      <c r="J128" t="s">
        <v>359</v>
      </c>
      <c r="P128">
        <v>161</v>
      </c>
      <c r="Q128">
        <v>2</v>
      </c>
      <c r="R128" s="6" t="s">
        <v>352</v>
      </c>
      <c r="S128" s="6" t="s">
        <v>355</v>
      </c>
      <c r="T128">
        <v>97</v>
      </c>
      <c r="U128" s="14" t="str">
        <f t="shared" si="4"/>
        <v>Y</v>
      </c>
    </row>
    <row r="129" spans="1:21" customFormat="1" x14ac:dyDescent="0.25">
      <c r="A129" t="s">
        <v>140</v>
      </c>
      <c r="B129" s="16" t="s">
        <v>655</v>
      </c>
      <c r="C129" s="16" t="str">
        <f t="shared" si="9"/>
        <v>04-52M-WA</v>
      </c>
      <c r="D129" s="16" t="b">
        <f t="shared" si="10"/>
        <v>1</v>
      </c>
      <c r="E129" s="16">
        <v>81</v>
      </c>
      <c r="F129" s="17">
        <v>-76.387028999999998</v>
      </c>
      <c r="G129" s="17">
        <v>42.861274999999999</v>
      </c>
      <c r="H129">
        <v>52</v>
      </c>
      <c r="I129" t="s">
        <v>371</v>
      </c>
      <c r="J129" t="s">
        <v>359</v>
      </c>
      <c r="P129">
        <v>60</v>
      </c>
      <c r="Q129">
        <v>2</v>
      </c>
      <c r="R129" s="6" t="s">
        <v>352</v>
      </c>
      <c r="S129" s="6" t="s">
        <v>355</v>
      </c>
      <c r="T129">
        <v>96</v>
      </c>
      <c r="U129" s="14" t="str">
        <f t="shared" si="4"/>
        <v>Y</v>
      </c>
    </row>
    <row r="130" spans="1:21" customFormat="1" x14ac:dyDescent="0.25">
      <c r="A130" t="s">
        <v>141</v>
      </c>
      <c r="B130" s="16"/>
      <c r="C130" s="16"/>
      <c r="D130" s="16" t="str">
        <f t="shared" si="10"/>
        <v/>
      </c>
      <c r="E130" s="16"/>
      <c r="F130" s="17">
        <v>-76.386930972115593</v>
      </c>
      <c r="G130" s="17">
        <v>42.8612825105307</v>
      </c>
      <c r="H130">
        <v>53</v>
      </c>
      <c r="I130" t="s">
        <v>371</v>
      </c>
      <c r="J130" t="s">
        <v>359</v>
      </c>
      <c r="R130" s="6"/>
      <c r="S130" s="6"/>
      <c r="T130">
        <v>97</v>
      </c>
      <c r="U130" s="14" t="str">
        <f t="shared" si="4"/>
        <v/>
      </c>
    </row>
    <row r="131" spans="1:21" customFormat="1" x14ac:dyDescent="0.25">
      <c r="A131" t="s">
        <v>142</v>
      </c>
      <c r="B131" s="16"/>
      <c r="C131" s="16"/>
      <c r="D131" s="16" t="str">
        <f t="shared" si="10"/>
        <v/>
      </c>
      <c r="E131" s="16"/>
      <c r="F131" s="17">
        <v>-76.364891999999998</v>
      </c>
      <c r="G131" s="17">
        <v>42.861109999999996</v>
      </c>
      <c r="H131">
        <v>58</v>
      </c>
      <c r="I131" t="s">
        <v>371</v>
      </c>
      <c r="J131" t="s">
        <v>359</v>
      </c>
      <c r="N131" s="10"/>
      <c r="O131" s="10"/>
      <c r="R131" s="6"/>
      <c r="S131" s="6"/>
      <c r="T131">
        <v>84</v>
      </c>
      <c r="U131" s="14" t="str">
        <f t="shared" ref="U131:U194" si="11">IF(OR(Q131&lt;&gt;"", M131&lt;&gt;""), "Y", "")</f>
        <v/>
      </c>
    </row>
    <row r="132" spans="1:21" customFormat="1" x14ac:dyDescent="0.25">
      <c r="A132" t="s">
        <v>143</v>
      </c>
      <c r="B132" s="16"/>
      <c r="C132" s="16"/>
      <c r="D132" s="16" t="str">
        <f t="shared" si="10"/>
        <v/>
      </c>
      <c r="E132" s="16"/>
      <c r="F132" s="17">
        <v>-76.364891999999998</v>
      </c>
      <c r="G132" s="17">
        <v>42.861109999999996</v>
      </c>
      <c r="H132">
        <v>58</v>
      </c>
      <c r="I132" t="s">
        <v>371</v>
      </c>
      <c r="J132" t="s">
        <v>360</v>
      </c>
      <c r="R132" s="6"/>
      <c r="S132" s="6"/>
      <c r="T132">
        <v>84</v>
      </c>
      <c r="U132" s="14" t="str">
        <f t="shared" si="11"/>
        <v/>
      </c>
    </row>
    <row r="133" spans="1:21" customFormat="1" x14ac:dyDescent="0.25">
      <c r="A133" t="s">
        <v>144</v>
      </c>
      <c r="B133" s="16"/>
      <c r="C133" s="16"/>
      <c r="D133" s="16" t="str">
        <f t="shared" si="10"/>
        <v/>
      </c>
      <c r="E133" s="16"/>
      <c r="F133" s="17">
        <v>-76.386362000000005</v>
      </c>
      <c r="G133" s="17">
        <v>42.861499999999999</v>
      </c>
      <c r="H133">
        <v>60</v>
      </c>
      <c r="I133" t="s">
        <v>371</v>
      </c>
      <c r="J133" t="s">
        <v>359</v>
      </c>
      <c r="N133" s="11"/>
      <c r="O133" s="11"/>
      <c r="R133" s="6"/>
      <c r="S133" s="6"/>
      <c r="T133">
        <v>92</v>
      </c>
      <c r="U133" s="14" t="str">
        <f t="shared" si="11"/>
        <v/>
      </c>
    </row>
    <row r="134" spans="1:21" customFormat="1" x14ac:dyDescent="0.25">
      <c r="A134" t="s">
        <v>145</v>
      </c>
      <c r="B134" s="16"/>
      <c r="C134" s="16"/>
      <c r="D134" s="16" t="str">
        <f t="shared" si="10"/>
        <v/>
      </c>
      <c r="E134" s="16"/>
      <c r="F134" s="17">
        <v>-76.365226000000007</v>
      </c>
      <c r="G134" s="17">
        <v>42.861077000000002</v>
      </c>
      <c r="H134">
        <v>62</v>
      </c>
      <c r="I134" t="s">
        <v>371</v>
      </c>
      <c r="J134" t="s">
        <v>359</v>
      </c>
      <c r="R134" s="6"/>
      <c r="S134" s="6"/>
      <c r="T134">
        <v>27</v>
      </c>
      <c r="U134" s="14" t="str">
        <f t="shared" si="11"/>
        <v/>
      </c>
    </row>
    <row r="135" spans="1:21" customFormat="1" x14ac:dyDescent="0.25">
      <c r="A135" t="s">
        <v>146</v>
      </c>
      <c r="B135" s="16"/>
      <c r="C135" s="16"/>
      <c r="D135" s="16" t="str">
        <f t="shared" si="10"/>
        <v/>
      </c>
      <c r="E135" s="16"/>
      <c r="F135" s="17">
        <v>-76.385937999999996</v>
      </c>
      <c r="G135" s="17">
        <v>42.861426999999999</v>
      </c>
      <c r="H135">
        <v>65</v>
      </c>
      <c r="I135" t="s">
        <v>371</v>
      </c>
      <c r="J135" t="s">
        <v>359</v>
      </c>
      <c r="N135" s="12"/>
      <c r="O135" s="12"/>
      <c r="R135" s="6"/>
      <c r="S135" s="6"/>
      <c r="T135">
        <v>3</v>
      </c>
      <c r="U135" s="14" t="str">
        <f t="shared" si="11"/>
        <v/>
      </c>
    </row>
    <row r="136" spans="1:21" customFormat="1" x14ac:dyDescent="0.25">
      <c r="A136" t="s">
        <v>147</v>
      </c>
      <c r="B136" s="16"/>
      <c r="C136" s="16"/>
      <c r="D136" s="16" t="str">
        <f t="shared" si="10"/>
        <v/>
      </c>
      <c r="E136" s="16"/>
      <c r="F136" s="17">
        <v>-76.366180999999997</v>
      </c>
      <c r="G136" s="17">
        <v>42.861440999999999</v>
      </c>
      <c r="H136">
        <v>69</v>
      </c>
      <c r="I136" t="s">
        <v>371</v>
      </c>
      <c r="J136" t="s">
        <v>359</v>
      </c>
      <c r="N136" s="12"/>
      <c r="O136" s="12"/>
      <c r="R136" s="6"/>
      <c r="S136" s="6"/>
      <c r="T136">
        <v>36</v>
      </c>
      <c r="U136" s="14" t="str">
        <f t="shared" si="11"/>
        <v/>
      </c>
    </row>
    <row r="137" spans="1:21" customFormat="1" x14ac:dyDescent="0.25">
      <c r="A137" t="s">
        <v>246</v>
      </c>
      <c r="B137" s="16"/>
      <c r="C137" s="16"/>
      <c r="D137" s="16" t="str">
        <f t="shared" si="10"/>
        <v/>
      </c>
      <c r="E137" s="16"/>
      <c r="F137" s="17">
        <v>-76.385028000000005</v>
      </c>
      <c r="G137" s="17">
        <v>42.861592000000002</v>
      </c>
      <c r="H137">
        <v>70</v>
      </c>
      <c r="I137" t="s">
        <v>371</v>
      </c>
      <c r="J137" t="s">
        <v>359</v>
      </c>
      <c r="R137" s="6"/>
      <c r="S137" s="6"/>
      <c r="T137">
        <v>0</v>
      </c>
      <c r="U137" s="14" t="str">
        <f t="shared" si="11"/>
        <v/>
      </c>
    </row>
    <row r="138" spans="1:21" customFormat="1" x14ac:dyDescent="0.25">
      <c r="A138" t="s">
        <v>148</v>
      </c>
      <c r="B138" s="16"/>
      <c r="C138" s="16"/>
      <c r="D138" s="16" t="str">
        <f t="shared" si="10"/>
        <v/>
      </c>
      <c r="E138" s="16"/>
      <c r="F138" s="17">
        <v>-76.366172000000006</v>
      </c>
      <c r="G138" s="17">
        <v>42.861162999999998</v>
      </c>
      <c r="H138">
        <v>71</v>
      </c>
      <c r="I138" t="s">
        <v>371</v>
      </c>
      <c r="J138" t="s">
        <v>359</v>
      </c>
      <c r="R138" s="6"/>
      <c r="S138" s="6"/>
      <c r="T138">
        <v>44</v>
      </c>
      <c r="U138" s="14" t="str">
        <f t="shared" si="11"/>
        <v/>
      </c>
    </row>
    <row r="139" spans="1:21" customFormat="1" x14ac:dyDescent="0.25">
      <c r="A139" t="s">
        <v>149</v>
      </c>
      <c r="B139" s="16"/>
      <c r="C139" s="16"/>
      <c r="D139" s="16" t="str">
        <f t="shared" si="10"/>
        <v/>
      </c>
      <c r="E139" s="16"/>
      <c r="F139" s="17">
        <v>-76.375022999999999</v>
      </c>
      <c r="G139" s="17">
        <v>42.861203000000003</v>
      </c>
      <c r="H139">
        <v>75</v>
      </c>
      <c r="I139" t="s">
        <v>371</v>
      </c>
      <c r="J139" t="s">
        <v>359</v>
      </c>
      <c r="R139" s="6"/>
      <c r="S139" s="6"/>
      <c r="T139">
        <v>22</v>
      </c>
      <c r="U139" s="14" t="str">
        <f t="shared" si="11"/>
        <v/>
      </c>
    </row>
    <row r="140" spans="1:21" customFormat="1" x14ac:dyDescent="0.25">
      <c r="A140" t="s">
        <v>150</v>
      </c>
      <c r="B140" s="16"/>
      <c r="C140" s="16"/>
      <c r="D140" s="16" t="str">
        <f t="shared" si="10"/>
        <v/>
      </c>
      <c r="E140" s="16"/>
      <c r="F140" s="17">
        <v>-76.371301000000003</v>
      </c>
      <c r="G140" s="17">
        <v>42.861203000000003</v>
      </c>
      <c r="H140">
        <v>77</v>
      </c>
      <c r="I140" t="s">
        <v>371</v>
      </c>
      <c r="J140" t="s">
        <v>359</v>
      </c>
      <c r="R140" s="6"/>
      <c r="S140" s="6"/>
      <c r="T140">
        <v>13</v>
      </c>
      <c r="U140" s="14" t="str">
        <f t="shared" si="11"/>
        <v/>
      </c>
    </row>
    <row r="141" spans="1:21" customFormat="1" x14ac:dyDescent="0.25">
      <c r="A141" t="s">
        <v>151</v>
      </c>
      <c r="B141" s="16"/>
      <c r="C141" s="16"/>
      <c r="D141" s="16" t="str">
        <f t="shared" si="10"/>
        <v/>
      </c>
      <c r="E141" s="16"/>
      <c r="F141" s="17">
        <v>-76.370633999999995</v>
      </c>
      <c r="G141" s="17">
        <v>42.861269</v>
      </c>
      <c r="H141">
        <v>77</v>
      </c>
      <c r="I141" t="s">
        <v>371</v>
      </c>
      <c r="J141" t="s">
        <v>360</v>
      </c>
      <c r="R141" s="6"/>
      <c r="S141" s="6"/>
      <c r="T141">
        <v>1</v>
      </c>
      <c r="U141" s="14" t="str">
        <f t="shared" si="11"/>
        <v/>
      </c>
    </row>
    <row r="142" spans="1:21" customFormat="1" x14ac:dyDescent="0.25">
      <c r="A142" t="s">
        <v>152</v>
      </c>
      <c r="B142" s="16"/>
      <c r="C142" s="16"/>
      <c r="D142" s="16" t="str">
        <f t="shared" si="10"/>
        <v/>
      </c>
      <c r="E142" s="16"/>
      <c r="F142" s="17">
        <v>-76.378979999999999</v>
      </c>
      <c r="G142" s="17">
        <v>42.861288999999999</v>
      </c>
      <c r="H142">
        <v>79</v>
      </c>
      <c r="I142" t="s">
        <v>371</v>
      </c>
      <c r="J142" t="s">
        <v>359</v>
      </c>
      <c r="R142" s="6"/>
      <c r="S142" s="6"/>
      <c r="T142">
        <v>19</v>
      </c>
      <c r="U142" s="14" t="str">
        <f t="shared" si="11"/>
        <v/>
      </c>
    </row>
    <row r="143" spans="1:21" customFormat="1" x14ac:dyDescent="0.25">
      <c r="A143" t="s">
        <v>153</v>
      </c>
      <c r="B143" s="16"/>
      <c r="C143" s="16"/>
      <c r="D143" s="16" t="str">
        <f t="shared" si="10"/>
        <v/>
      </c>
      <c r="E143" s="16"/>
      <c r="F143" s="17">
        <v>-76.377726999999993</v>
      </c>
      <c r="G143" s="17">
        <v>42.861241999999997</v>
      </c>
      <c r="H143">
        <v>80</v>
      </c>
      <c r="I143" t="s">
        <v>371</v>
      </c>
      <c r="J143" t="s">
        <v>359</v>
      </c>
      <c r="R143" s="6"/>
      <c r="S143" s="6"/>
      <c r="T143">
        <v>12</v>
      </c>
      <c r="U143" s="14" t="str">
        <f t="shared" si="11"/>
        <v/>
      </c>
    </row>
    <row r="144" spans="1:21" customFormat="1" x14ac:dyDescent="0.25">
      <c r="A144" t="s">
        <v>33</v>
      </c>
      <c r="B144" s="16"/>
      <c r="C144" s="16"/>
      <c r="D144" s="16" t="str">
        <f t="shared" si="10"/>
        <v/>
      </c>
      <c r="E144" s="16"/>
      <c r="F144" s="17">
        <v>-76.346513999999999</v>
      </c>
      <c r="G144" s="17">
        <v>42.833222999999997</v>
      </c>
      <c r="H144">
        <v>1</v>
      </c>
      <c r="I144" t="s">
        <v>362</v>
      </c>
      <c r="J144" t="s">
        <v>359</v>
      </c>
      <c r="K144">
        <v>401</v>
      </c>
      <c r="L144">
        <v>98</v>
      </c>
      <c r="M144">
        <v>1</v>
      </c>
      <c r="N144" t="s">
        <v>357</v>
      </c>
      <c r="O144" t="s">
        <v>355</v>
      </c>
      <c r="R144" s="6"/>
      <c r="S144" s="6"/>
      <c r="T144">
        <v>6</v>
      </c>
      <c r="U144" s="14" t="str">
        <f t="shared" si="11"/>
        <v>Y</v>
      </c>
    </row>
    <row r="145" spans="1:21" customFormat="1" x14ac:dyDescent="0.25">
      <c r="A145" t="s">
        <v>34</v>
      </c>
      <c r="B145" s="16"/>
      <c r="C145" s="16"/>
      <c r="D145" s="16" t="str">
        <f t="shared" si="10"/>
        <v/>
      </c>
      <c r="E145" s="16"/>
      <c r="F145" s="17">
        <v>-76.327081000000007</v>
      </c>
      <c r="G145" s="17">
        <v>42.834552000000002</v>
      </c>
      <c r="H145">
        <v>2</v>
      </c>
      <c r="I145" t="s">
        <v>362</v>
      </c>
      <c r="J145" t="s">
        <v>359</v>
      </c>
      <c r="K145">
        <v>164</v>
      </c>
      <c r="L145">
        <v>31</v>
      </c>
      <c r="M145">
        <v>0</v>
      </c>
      <c r="N145" t="s">
        <v>352</v>
      </c>
      <c r="O145" t="s">
        <v>356</v>
      </c>
      <c r="R145" s="6"/>
      <c r="S145" s="6"/>
      <c r="T145">
        <v>13</v>
      </c>
      <c r="U145" s="14" t="str">
        <f t="shared" si="11"/>
        <v>Y</v>
      </c>
    </row>
    <row r="146" spans="1:21" customFormat="1" x14ac:dyDescent="0.25">
      <c r="A146" t="s">
        <v>35</v>
      </c>
      <c r="B146" s="16"/>
      <c r="C146" s="16"/>
      <c r="D146" s="16" t="str">
        <f t="shared" si="10"/>
        <v/>
      </c>
      <c r="E146" s="16"/>
      <c r="F146" s="17">
        <v>-76.327117000000001</v>
      </c>
      <c r="G146" s="17">
        <v>42.834400000000002</v>
      </c>
      <c r="H146">
        <v>3</v>
      </c>
      <c r="I146" t="s">
        <v>362</v>
      </c>
      <c r="J146" t="s">
        <v>359</v>
      </c>
      <c r="K146">
        <v>92</v>
      </c>
      <c r="L146">
        <v>22</v>
      </c>
      <c r="M146">
        <v>0</v>
      </c>
      <c r="N146" t="s">
        <v>352</v>
      </c>
      <c r="O146" t="s">
        <v>354</v>
      </c>
      <c r="R146" s="6"/>
      <c r="S146" s="6"/>
      <c r="T146">
        <v>34</v>
      </c>
      <c r="U146" s="14" t="str">
        <f t="shared" si="11"/>
        <v>Y</v>
      </c>
    </row>
    <row r="147" spans="1:21" customFormat="1" x14ac:dyDescent="0.25">
      <c r="A147" t="s">
        <v>36</v>
      </c>
      <c r="B147" s="16"/>
      <c r="C147" s="16"/>
      <c r="D147" s="16" t="str">
        <f t="shared" si="10"/>
        <v/>
      </c>
      <c r="E147" s="16"/>
      <c r="F147" s="17">
        <v>-76.346324999999993</v>
      </c>
      <c r="G147" s="17">
        <v>42.833342000000002</v>
      </c>
      <c r="H147">
        <v>3</v>
      </c>
      <c r="I147" t="s">
        <v>362</v>
      </c>
      <c r="J147" t="s">
        <v>359</v>
      </c>
      <c r="K147">
        <v>161</v>
      </c>
      <c r="L147">
        <v>0</v>
      </c>
      <c r="M147">
        <v>0</v>
      </c>
      <c r="N147" t="s">
        <v>352</v>
      </c>
      <c r="O147" t="s">
        <v>356</v>
      </c>
      <c r="R147" s="6"/>
      <c r="S147" s="6"/>
      <c r="T147">
        <v>74</v>
      </c>
      <c r="U147" s="14" t="str">
        <f t="shared" si="11"/>
        <v>Y</v>
      </c>
    </row>
    <row r="148" spans="1:21" customFormat="1" x14ac:dyDescent="0.25">
      <c r="A148" t="s">
        <v>37</v>
      </c>
      <c r="B148" s="16"/>
      <c r="C148" s="16"/>
      <c r="D148" s="16" t="str">
        <f t="shared" si="10"/>
        <v/>
      </c>
      <c r="E148" s="16"/>
      <c r="F148" s="17">
        <v>-76.327423999999993</v>
      </c>
      <c r="G148" s="17">
        <v>42.834266999999997</v>
      </c>
      <c r="H148">
        <v>5</v>
      </c>
      <c r="I148" t="s">
        <v>362</v>
      </c>
      <c r="J148" t="s">
        <v>359</v>
      </c>
      <c r="K148">
        <v>727</v>
      </c>
      <c r="L148">
        <v>258</v>
      </c>
      <c r="M148">
        <v>1</v>
      </c>
      <c r="N148" t="s">
        <v>352</v>
      </c>
      <c r="O148" t="s">
        <v>354</v>
      </c>
      <c r="R148" s="6"/>
      <c r="S148" s="6"/>
      <c r="T148">
        <v>586</v>
      </c>
      <c r="U148" s="14" t="str">
        <f t="shared" si="11"/>
        <v>Y</v>
      </c>
    </row>
    <row r="149" spans="1:21" customFormat="1" x14ac:dyDescent="0.25">
      <c r="A149" t="s">
        <v>38</v>
      </c>
      <c r="B149" s="16"/>
      <c r="C149" s="16"/>
      <c r="D149" s="16" t="str">
        <f t="shared" si="10"/>
        <v/>
      </c>
      <c r="E149" s="16"/>
      <c r="F149" s="17">
        <v>-76.346406000000002</v>
      </c>
      <c r="G149" s="17">
        <v>42.833480999999999</v>
      </c>
      <c r="H149">
        <v>5</v>
      </c>
      <c r="I149" t="s">
        <v>362</v>
      </c>
      <c r="J149" t="s">
        <v>359</v>
      </c>
      <c r="K149">
        <v>177</v>
      </c>
      <c r="L149">
        <v>137</v>
      </c>
      <c r="M149">
        <v>0</v>
      </c>
      <c r="N149" t="s">
        <v>352</v>
      </c>
      <c r="O149" t="s">
        <v>354</v>
      </c>
      <c r="R149" s="6"/>
      <c r="S149" s="6"/>
      <c r="T149">
        <v>106</v>
      </c>
      <c r="U149" s="14" t="str">
        <f t="shared" si="11"/>
        <v>Y</v>
      </c>
    </row>
    <row r="150" spans="1:21" customFormat="1" x14ac:dyDescent="0.25">
      <c r="A150" t="s">
        <v>39</v>
      </c>
      <c r="B150" s="16"/>
      <c r="C150" s="16"/>
      <c r="D150" s="16" t="str">
        <f t="shared" si="10"/>
        <v/>
      </c>
      <c r="E150" s="16"/>
      <c r="F150" s="17">
        <v>-76.327460000000002</v>
      </c>
      <c r="G150" s="17">
        <v>42.834234000000002</v>
      </c>
      <c r="H150">
        <v>8</v>
      </c>
      <c r="I150" t="s">
        <v>362</v>
      </c>
      <c r="J150" t="s">
        <v>359</v>
      </c>
      <c r="K150">
        <v>1004</v>
      </c>
      <c r="L150">
        <v>619</v>
      </c>
      <c r="M150">
        <v>2</v>
      </c>
      <c r="N150" t="s">
        <v>352</v>
      </c>
      <c r="O150" t="s">
        <v>355</v>
      </c>
      <c r="R150" s="6"/>
      <c r="S150" s="6"/>
      <c r="T150">
        <v>489</v>
      </c>
      <c r="U150" s="14" t="str">
        <f t="shared" si="11"/>
        <v>Y</v>
      </c>
    </row>
    <row r="151" spans="1:21" customFormat="1" x14ac:dyDescent="0.25">
      <c r="A151" t="s">
        <v>40</v>
      </c>
      <c r="B151" s="16"/>
      <c r="C151" s="16"/>
      <c r="D151" s="16" t="str">
        <f t="shared" si="10"/>
        <v/>
      </c>
      <c r="E151" s="16"/>
      <c r="F151" s="17">
        <v>-76.346215999999998</v>
      </c>
      <c r="G151" s="17">
        <v>42.833553000000002</v>
      </c>
      <c r="H151">
        <v>8</v>
      </c>
      <c r="I151" t="s">
        <v>362</v>
      </c>
      <c r="J151" t="s">
        <v>359</v>
      </c>
      <c r="K151">
        <v>259</v>
      </c>
      <c r="L151">
        <v>0</v>
      </c>
      <c r="M151">
        <v>0</v>
      </c>
      <c r="N151" t="s">
        <v>352</v>
      </c>
      <c r="O151" t="s">
        <v>356</v>
      </c>
      <c r="R151" s="6"/>
      <c r="S151" s="6"/>
      <c r="T151">
        <v>218</v>
      </c>
      <c r="U151" s="14" t="str">
        <f t="shared" si="11"/>
        <v>Y</v>
      </c>
    </row>
    <row r="152" spans="1:21" customFormat="1" x14ac:dyDescent="0.25">
      <c r="A152" t="s">
        <v>41</v>
      </c>
      <c r="B152" s="16"/>
      <c r="C152" s="16"/>
      <c r="D152" s="16" t="str">
        <f t="shared" si="10"/>
        <v/>
      </c>
      <c r="E152" s="16"/>
      <c r="F152" s="17">
        <v>-76.327577000000005</v>
      </c>
      <c r="G152" s="17">
        <v>42.834254000000001</v>
      </c>
      <c r="H152">
        <v>11</v>
      </c>
      <c r="I152" t="s">
        <v>362</v>
      </c>
      <c r="J152" t="s">
        <v>359</v>
      </c>
      <c r="K152">
        <v>1026</v>
      </c>
      <c r="L152">
        <v>483</v>
      </c>
      <c r="M152">
        <v>2</v>
      </c>
      <c r="N152" t="s">
        <v>352</v>
      </c>
      <c r="O152" t="s">
        <v>355</v>
      </c>
      <c r="R152" s="6"/>
      <c r="S152" s="6"/>
      <c r="T152">
        <v>401</v>
      </c>
      <c r="U152" s="14" t="str">
        <f t="shared" si="11"/>
        <v>Y</v>
      </c>
    </row>
    <row r="153" spans="1:21" customFormat="1" x14ac:dyDescent="0.25">
      <c r="A153" t="s">
        <v>42</v>
      </c>
      <c r="B153" s="16"/>
      <c r="C153" s="16"/>
      <c r="D153" s="16" t="str">
        <f t="shared" si="10"/>
        <v/>
      </c>
      <c r="E153" s="16"/>
      <c r="F153" s="17">
        <v>-76.346108000000001</v>
      </c>
      <c r="G153" s="17">
        <v>42.833632999999999</v>
      </c>
      <c r="H153">
        <v>11</v>
      </c>
      <c r="I153" t="s">
        <v>362</v>
      </c>
      <c r="J153" t="s">
        <v>359</v>
      </c>
      <c r="K153">
        <v>591</v>
      </c>
      <c r="L153">
        <v>385</v>
      </c>
      <c r="M153">
        <v>2</v>
      </c>
      <c r="N153" t="s">
        <v>352</v>
      </c>
      <c r="O153" t="s">
        <v>355</v>
      </c>
      <c r="R153" s="6"/>
      <c r="S153" s="6"/>
      <c r="T153">
        <v>241</v>
      </c>
      <c r="U153" s="14" t="str">
        <f t="shared" si="11"/>
        <v>Y</v>
      </c>
    </row>
    <row r="154" spans="1:21" customFormat="1" x14ac:dyDescent="0.25">
      <c r="A154" t="s">
        <v>43</v>
      </c>
      <c r="B154" s="16"/>
      <c r="C154" s="16"/>
      <c r="D154" s="16" t="str">
        <f t="shared" si="10"/>
        <v/>
      </c>
      <c r="E154" s="16"/>
      <c r="F154" s="17">
        <v>-76.327630999999997</v>
      </c>
      <c r="G154" s="17">
        <v>42.834147999999999</v>
      </c>
      <c r="H154">
        <v>14</v>
      </c>
      <c r="I154" t="s">
        <v>362</v>
      </c>
      <c r="J154" t="s">
        <v>359</v>
      </c>
      <c r="K154">
        <v>602</v>
      </c>
      <c r="L154">
        <v>427</v>
      </c>
      <c r="M154">
        <v>2</v>
      </c>
      <c r="N154" t="s">
        <v>352</v>
      </c>
      <c r="O154" t="s">
        <v>355</v>
      </c>
      <c r="R154" s="6"/>
      <c r="S154" s="6"/>
      <c r="T154">
        <v>377</v>
      </c>
      <c r="U154" s="14" t="str">
        <f t="shared" si="11"/>
        <v>Y</v>
      </c>
    </row>
    <row r="155" spans="1:21" customFormat="1" x14ac:dyDescent="0.25">
      <c r="A155" t="s">
        <v>44</v>
      </c>
      <c r="B155" s="16" t="s">
        <v>656</v>
      </c>
      <c r="C155" s="16" t="str">
        <f t="shared" si="9"/>
        <v>05-14M-WA</v>
      </c>
      <c r="D155" s="16" t="b">
        <f t="shared" si="10"/>
        <v>1</v>
      </c>
      <c r="E155" s="16">
        <v>114</v>
      </c>
      <c r="F155" s="17">
        <v>-76.346198000000001</v>
      </c>
      <c r="G155" s="17">
        <v>42.833731999999998</v>
      </c>
      <c r="H155">
        <v>14</v>
      </c>
      <c r="I155" t="s">
        <v>362</v>
      </c>
      <c r="J155" t="s">
        <v>359</v>
      </c>
      <c r="K155">
        <v>390</v>
      </c>
      <c r="L155">
        <v>296</v>
      </c>
      <c r="M155">
        <v>1</v>
      </c>
      <c r="N155" t="s">
        <v>352</v>
      </c>
      <c r="O155" t="s">
        <v>355</v>
      </c>
      <c r="P155">
        <v>150</v>
      </c>
      <c r="Q155">
        <v>0</v>
      </c>
      <c r="R155" s="6" t="s">
        <v>352</v>
      </c>
      <c r="S155" s="6" t="s">
        <v>355</v>
      </c>
      <c r="T155">
        <v>233</v>
      </c>
      <c r="U155" s="14" t="str">
        <f t="shared" si="11"/>
        <v>Y</v>
      </c>
    </row>
    <row r="156" spans="1:21" customFormat="1" x14ac:dyDescent="0.25">
      <c r="A156" t="s">
        <v>45</v>
      </c>
      <c r="B156" s="16"/>
      <c r="C156" s="16"/>
      <c r="D156" s="16" t="str">
        <f t="shared" si="10"/>
        <v/>
      </c>
      <c r="E156" s="16"/>
      <c r="F156" s="17">
        <v>-76.327675999999997</v>
      </c>
      <c r="G156" s="17">
        <v>42.834076000000003</v>
      </c>
      <c r="H156">
        <v>17</v>
      </c>
      <c r="I156" t="s">
        <v>362</v>
      </c>
      <c r="J156" t="s">
        <v>359</v>
      </c>
      <c r="K156">
        <v>1066</v>
      </c>
      <c r="L156">
        <v>507</v>
      </c>
      <c r="M156">
        <v>1</v>
      </c>
      <c r="N156" t="s">
        <v>352</v>
      </c>
      <c r="O156" t="s">
        <v>355</v>
      </c>
      <c r="R156" s="6"/>
      <c r="S156" s="6"/>
      <c r="T156">
        <v>69</v>
      </c>
      <c r="U156" s="14" t="str">
        <f t="shared" si="11"/>
        <v>Y</v>
      </c>
    </row>
    <row r="157" spans="1:21" customFormat="1" x14ac:dyDescent="0.25">
      <c r="A157" t="s">
        <v>46</v>
      </c>
      <c r="B157" s="16"/>
      <c r="C157" s="16"/>
      <c r="D157" s="16" t="str">
        <f t="shared" si="10"/>
        <v/>
      </c>
      <c r="E157" s="16"/>
      <c r="F157" s="17">
        <v>-76.346090000000004</v>
      </c>
      <c r="G157" s="17">
        <v>42.833731999999998</v>
      </c>
      <c r="H157">
        <v>17</v>
      </c>
      <c r="I157" t="s">
        <v>362</v>
      </c>
      <c r="J157" t="s">
        <v>359</v>
      </c>
      <c r="K157">
        <v>483</v>
      </c>
      <c r="L157">
        <v>359</v>
      </c>
      <c r="M157">
        <v>1</v>
      </c>
      <c r="N157" t="s">
        <v>352</v>
      </c>
      <c r="O157" t="s">
        <v>355</v>
      </c>
      <c r="R157" s="6"/>
      <c r="S157" s="6"/>
      <c r="T157">
        <v>178</v>
      </c>
      <c r="U157" s="14" t="str">
        <f t="shared" si="11"/>
        <v>Y</v>
      </c>
    </row>
    <row r="158" spans="1:21" customFormat="1" x14ac:dyDescent="0.25">
      <c r="A158" t="s">
        <v>154</v>
      </c>
      <c r="B158" s="16" t="s">
        <v>657</v>
      </c>
      <c r="C158" s="16" t="str">
        <f t="shared" si="9"/>
        <v>05-24M-EA</v>
      </c>
      <c r="D158" s="16" t="b">
        <f t="shared" si="10"/>
        <v>1</v>
      </c>
      <c r="E158" s="16">
        <v>73</v>
      </c>
      <c r="F158" s="17">
        <v>-76.327757000000005</v>
      </c>
      <c r="G158" s="17">
        <v>42.833739000000001</v>
      </c>
      <c r="H158">
        <v>24</v>
      </c>
      <c r="I158" t="s">
        <v>362</v>
      </c>
      <c r="J158" t="s">
        <v>359</v>
      </c>
      <c r="P158">
        <v>85</v>
      </c>
      <c r="Q158">
        <v>2</v>
      </c>
      <c r="R158" s="6" t="s">
        <v>352</v>
      </c>
      <c r="S158" s="6" t="s">
        <v>355</v>
      </c>
      <c r="T158">
        <v>246</v>
      </c>
      <c r="U158" s="14" t="str">
        <f t="shared" si="11"/>
        <v>Y</v>
      </c>
    </row>
    <row r="159" spans="1:21" customFormat="1" x14ac:dyDescent="0.25">
      <c r="A159" t="s">
        <v>279</v>
      </c>
      <c r="B159" s="16" t="s">
        <v>658</v>
      </c>
      <c r="C159" s="16" t="str">
        <f t="shared" si="9"/>
        <v>05-24M-EB</v>
      </c>
      <c r="D159" s="16" t="b">
        <f t="shared" si="10"/>
        <v>1</v>
      </c>
      <c r="E159" s="16">
        <v>66</v>
      </c>
      <c r="F159" s="17">
        <v>-76.327757000000005</v>
      </c>
      <c r="G159" s="17">
        <v>42.833739000000001</v>
      </c>
      <c r="H159">
        <v>24</v>
      </c>
      <c r="I159" t="s">
        <v>362</v>
      </c>
      <c r="J159" t="s">
        <v>360</v>
      </c>
      <c r="P159">
        <v>63</v>
      </c>
      <c r="Q159">
        <v>2</v>
      </c>
      <c r="R159" s="6" t="s">
        <v>352</v>
      </c>
      <c r="S159" s="6" t="s">
        <v>355</v>
      </c>
      <c r="U159" s="14" t="str">
        <f t="shared" si="11"/>
        <v>Y</v>
      </c>
    </row>
    <row r="160" spans="1:21" customFormat="1" x14ac:dyDescent="0.25">
      <c r="A160" t="s">
        <v>155</v>
      </c>
      <c r="B160" s="16" t="s">
        <v>659</v>
      </c>
      <c r="C160" s="16" t="str">
        <f t="shared" si="9"/>
        <v>05-24M-WA</v>
      </c>
      <c r="D160" s="16" t="b">
        <f t="shared" si="10"/>
        <v>1</v>
      </c>
      <c r="E160" s="16">
        <v>180</v>
      </c>
      <c r="F160" s="17">
        <v>-76.345883000000001</v>
      </c>
      <c r="G160" s="17">
        <v>42.834029000000001</v>
      </c>
      <c r="H160">
        <v>24</v>
      </c>
      <c r="I160" t="s">
        <v>362</v>
      </c>
      <c r="J160" t="s">
        <v>359</v>
      </c>
      <c r="P160">
        <v>169</v>
      </c>
      <c r="Q160">
        <v>2</v>
      </c>
      <c r="R160" s="6" t="s">
        <v>352</v>
      </c>
      <c r="S160" s="6" t="s">
        <v>355</v>
      </c>
      <c r="T160">
        <v>290</v>
      </c>
      <c r="U160" s="14" t="str">
        <f t="shared" si="11"/>
        <v>Y</v>
      </c>
    </row>
    <row r="161" spans="1:21" customFormat="1" x14ac:dyDescent="0.25">
      <c r="A161" t="s">
        <v>280</v>
      </c>
      <c r="B161" s="16" t="s">
        <v>660</v>
      </c>
      <c r="C161" s="16" t="str">
        <f t="shared" si="9"/>
        <v>05-24M-WB</v>
      </c>
      <c r="D161" s="16" t="b">
        <f t="shared" si="10"/>
        <v>1</v>
      </c>
      <c r="E161" s="16">
        <v>169</v>
      </c>
      <c r="F161" s="17">
        <v>-76.345883000000001</v>
      </c>
      <c r="G161" s="17">
        <v>42.834029000000001</v>
      </c>
      <c r="H161">
        <v>24</v>
      </c>
      <c r="I161" t="s">
        <v>362</v>
      </c>
      <c r="J161" t="s">
        <v>360</v>
      </c>
      <c r="P161">
        <v>150</v>
      </c>
      <c r="Q161">
        <v>2</v>
      </c>
      <c r="R161" s="6" t="s">
        <v>352</v>
      </c>
      <c r="S161" s="6" t="s">
        <v>355</v>
      </c>
      <c r="U161" s="14" t="str">
        <f t="shared" si="11"/>
        <v>Y</v>
      </c>
    </row>
    <row r="162" spans="1:21" customFormat="1" x14ac:dyDescent="0.25">
      <c r="A162" t="s">
        <v>156</v>
      </c>
      <c r="B162" s="16" t="s">
        <v>661</v>
      </c>
      <c r="C162" s="16" t="str">
        <f t="shared" si="9"/>
        <v>05-31M-EA</v>
      </c>
      <c r="D162" s="16" t="b">
        <f t="shared" si="10"/>
        <v>1</v>
      </c>
      <c r="E162" s="16">
        <v>386</v>
      </c>
      <c r="F162" s="17">
        <v>-76.327793</v>
      </c>
      <c r="G162" s="17">
        <v>42.833593</v>
      </c>
      <c r="H162">
        <v>31</v>
      </c>
      <c r="I162" t="s">
        <v>362</v>
      </c>
      <c r="J162" t="s">
        <v>359</v>
      </c>
      <c r="P162">
        <v>332</v>
      </c>
      <c r="Q162">
        <v>1</v>
      </c>
      <c r="R162" s="6" t="s">
        <v>352</v>
      </c>
      <c r="S162" s="6" t="s">
        <v>355</v>
      </c>
      <c r="T162">
        <v>206</v>
      </c>
      <c r="U162" s="14" t="str">
        <f t="shared" si="11"/>
        <v>Y</v>
      </c>
    </row>
    <row r="163" spans="1:21" customFormat="1" x14ac:dyDescent="0.25">
      <c r="A163" t="s">
        <v>281</v>
      </c>
      <c r="B163" s="16" t="s">
        <v>662</v>
      </c>
      <c r="C163" s="16" t="str">
        <f t="shared" si="9"/>
        <v>05-31M-EB</v>
      </c>
      <c r="D163" s="16" t="b">
        <f t="shared" si="10"/>
        <v>1</v>
      </c>
      <c r="E163" s="16">
        <v>416</v>
      </c>
      <c r="F163" s="17">
        <v>-76.327793</v>
      </c>
      <c r="G163" s="17">
        <v>42.833593</v>
      </c>
      <c r="H163">
        <v>31</v>
      </c>
      <c r="I163" t="s">
        <v>362</v>
      </c>
      <c r="J163" t="s">
        <v>360</v>
      </c>
      <c r="P163">
        <v>395</v>
      </c>
      <c r="Q163">
        <v>2</v>
      </c>
      <c r="R163" s="6" t="s">
        <v>352</v>
      </c>
      <c r="S163" s="6" t="s">
        <v>355</v>
      </c>
      <c r="U163" s="14" t="str">
        <f t="shared" si="11"/>
        <v>Y</v>
      </c>
    </row>
    <row r="164" spans="1:21" customFormat="1" x14ac:dyDescent="0.25">
      <c r="A164" t="s">
        <v>157</v>
      </c>
      <c r="B164" s="16" t="s">
        <v>663</v>
      </c>
      <c r="C164" s="16" t="str">
        <f t="shared" si="9"/>
        <v>05-31M-WA</v>
      </c>
      <c r="D164" s="16" t="b">
        <f t="shared" si="10"/>
        <v>1</v>
      </c>
      <c r="E164" s="16">
        <v>116</v>
      </c>
      <c r="F164" s="17">
        <v>-76.345828999999995</v>
      </c>
      <c r="G164" s="17">
        <v>42.834248000000002</v>
      </c>
      <c r="H164">
        <v>31</v>
      </c>
      <c r="I164" t="s">
        <v>362</v>
      </c>
      <c r="J164" t="s">
        <v>359</v>
      </c>
      <c r="P164">
        <v>86</v>
      </c>
      <c r="Q164">
        <v>2</v>
      </c>
      <c r="R164" s="6" t="s">
        <v>352</v>
      </c>
      <c r="S164" s="6" t="s">
        <v>355</v>
      </c>
      <c r="T164">
        <v>108</v>
      </c>
      <c r="U164" s="14" t="str">
        <f t="shared" si="11"/>
        <v>Y</v>
      </c>
    </row>
    <row r="165" spans="1:21" customFormat="1" x14ac:dyDescent="0.25">
      <c r="A165" t="s">
        <v>282</v>
      </c>
      <c r="B165" s="16" t="s">
        <v>664</v>
      </c>
      <c r="C165" s="16" t="str">
        <f t="shared" si="9"/>
        <v>05-31M-WB</v>
      </c>
      <c r="D165" s="16" t="b">
        <f t="shared" si="10"/>
        <v>1</v>
      </c>
      <c r="E165" s="16">
        <v>188</v>
      </c>
      <c r="F165" s="17">
        <v>-76.345828999999995</v>
      </c>
      <c r="G165" s="17">
        <v>42.834248000000002</v>
      </c>
      <c r="H165">
        <v>31</v>
      </c>
      <c r="I165" t="s">
        <v>362</v>
      </c>
      <c r="J165" t="s">
        <v>360</v>
      </c>
      <c r="P165">
        <v>223</v>
      </c>
      <c r="Q165">
        <v>2</v>
      </c>
      <c r="R165" s="6" t="s">
        <v>352</v>
      </c>
      <c r="S165" s="6" t="s">
        <v>355</v>
      </c>
      <c r="U165" s="14" t="str">
        <f t="shared" si="11"/>
        <v>Y</v>
      </c>
    </row>
    <row r="166" spans="1:21" customFormat="1" x14ac:dyDescent="0.25">
      <c r="A166" t="s">
        <v>158</v>
      </c>
      <c r="B166" s="16" t="s">
        <v>665</v>
      </c>
      <c r="C166" s="16" t="str">
        <f t="shared" si="9"/>
        <v>05-40M-EA</v>
      </c>
      <c r="D166" s="16" t="b">
        <f t="shared" si="10"/>
        <v>1</v>
      </c>
      <c r="E166" s="16">
        <v>446</v>
      </c>
      <c r="F166" s="17">
        <v>-76.327748</v>
      </c>
      <c r="G166" s="17">
        <v>42.833316000000003</v>
      </c>
      <c r="H166">
        <v>40</v>
      </c>
      <c r="I166" t="s">
        <v>362</v>
      </c>
      <c r="J166" t="s">
        <v>359</v>
      </c>
      <c r="P166">
        <v>429</v>
      </c>
      <c r="Q166">
        <v>2</v>
      </c>
      <c r="R166" s="6" t="s">
        <v>352</v>
      </c>
      <c r="S166" s="6" t="s">
        <v>355</v>
      </c>
      <c r="T166">
        <v>333</v>
      </c>
      <c r="U166" s="14" t="str">
        <f t="shared" si="11"/>
        <v>Y</v>
      </c>
    </row>
    <row r="167" spans="1:21" customFormat="1" x14ac:dyDescent="0.25">
      <c r="A167" t="s">
        <v>283</v>
      </c>
      <c r="B167" s="16" t="s">
        <v>666</v>
      </c>
      <c r="C167" s="16" t="str">
        <f t="shared" si="9"/>
        <v>05-40M-EB</v>
      </c>
      <c r="D167" s="16" t="b">
        <f t="shared" si="10"/>
        <v>1</v>
      </c>
      <c r="E167" s="16">
        <v>301</v>
      </c>
      <c r="F167" s="17">
        <v>-76.327748</v>
      </c>
      <c r="G167" s="17">
        <v>42.833316000000003</v>
      </c>
      <c r="H167">
        <v>40</v>
      </c>
      <c r="I167" t="s">
        <v>362</v>
      </c>
      <c r="J167" t="s">
        <v>360</v>
      </c>
      <c r="P167">
        <v>288</v>
      </c>
      <c r="Q167">
        <v>2</v>
      </c>
      <c r="R167" s="6" t="s">
        <v>352</v>
      </c>
      <c r="S167" s="6" t="s">
        <v>355</v>
      </c>
      <c r="U167" s="14" t="str">
        <f t="shared" si="11"/>
        <v>Y</v>
      </c>
    </row>
    <row r="168" spans="1:21" customFormat="1" x14ac:dyDescent="0.25">
      <c r="A168" t="s">
        <v>245</v>
      </c>
      <c r="B168" s="16" t="s">
        <v>667</v>
      </c>
      <c r="C168" s="16" t="str">
        <f t="shared" si="9"/>
        <v>05-40M-WA</v>
      </c>
      <c r="D168" s="16" t="b">
        <f t="shared" si="10"/>
        <v>1</v>
      </c>
      <c r="E168" s="16">
        <v>296</v>
      </c>
      <c r="F168" s="17">
        <v>-76.345820000000003</v>
      </c>
      <c r="G168" s="17">
        <v>42.834347000000001</v>
      </c>
      <c r="H168">
        <v>40</v>
      </c>
      <c r="I168" t="s">
        <v>362</v>
      </c>
      <c r="J168" t="s">
        <v>359</v>
      </c>
      <c r="P168">
        <v>292</v>
      </c>
      <c r="Q168">
        <v>2</v>
      </c>
      <c r="R168" s="6" t="s">
        <v>352</v>
      </c>
      <c r="S168" s="6" t="s">
        <v>355</v>
      </c>
      <c r="T168">
        <v>0</v>
      </c>
      <c r="U168" s="14" t="str">
        <f t="shared" si="11"/>
        <v>Y</v>
      </c>
    </row>
    <row r="169" spans="1:21" customFormat="1" x14ac:dyDescent="0.25">
      <c r="A169" t="s">
        <v>284</v>
      </c>
      <c r="B169" s="16" t="s">
        <v>668</v>
      </c>
      <c r="C169" s="16" t="str">
        <f t="shared" si="9"/>
        <v>05-40M-WB</v>
      </c>
      <c r="D169" s="16" t="b">
        <f t="shared" si="10"/>
        <v>1</v>
      </c>
      <c r="E169" s="16">
        <v>188</v>
      </c>
      <c r="F169" s="17">
        <v>-76.345820000000003</v>
      </c>
      <c r="G169" s="17">
        <v>42.834347000000001</v>
      </c>
      <c r="H169">
        <v>40</v>
      </c>
      <c r="I169" t="s">
        <v>362</v>
      </c>
      <c r="J169" t="s">
        <v>360</v>
      </c>
      <c r="P169">
        <v>160</v>
      </c>
      <c r="Q169">
        <v>2</v>
      </c>
      <c r="R169" s="6" t="s">
        <v>352</v>
      </c>
      <c r="S169" s="6" t="s">
        <v>355</v>
      </c>
      <c r="U169" s="14" t="str">
        <f t="shared" si="11"/>
        <v>Y</v>
      </c>
    </row>
    <row r="170" spans="1:21" customFormat="1" x14ac:dyDescent="0.25">
      <c r="A170" t="s">
        <v>159</v>
      </c>
      <c r="B170" s="16" t="s">
        <v>669</v>
      </c>
      <c r="C170" s="16" t="str">
        <f t="shared" si="9"/>
        <v>05-45M-EA</v>
      </c>
      <c r="D170" s="16" t="b">
        <f t="shared" si="10"/>
        <v>1</v>
      </c>
      <c r="E170" s="16">
        <v>349</v>
      </c>
      <c r="F170" s="17">
        <v>-76.327577000000005</v>
      </c>
      <c r="G170" s="17">
        <v>42.833117000000001</v>
      </c>
      <c r="H170">
        <v>45</v>
      </c>
      <c r="I170" t="s">
        <v>362</v>
      </c>
      <c r="J170" t="s">
        <v>359</v>
      </c>
      <c r="P170">
        <v>254</v>
      </c>
      <c r="Q170">
        <v>1</v>
      </c>
      <c r="R170" s="6" t="s">
        <v>352</v>
      </c>
      <c r="S170" s="6" t="s">
        <v>355</v>
      </c>
      <c r="T170">
        <v>91</v>
      </c>
      <c r="U170" s="14" t="str">
        <f t="shared" si="11"/>
        <v>Y</v>
      </c>
    </row>
    <row r="171" spans="1:21" customFormat="1" x14ac:dyDescent="0.25">
      <c r="A171" t="s">
        <v>285</v>
      </c>
      <c r="B171" s="16" t="s">
        <v>670</v>
      </c>
      <c r="C171" s="16" t="str">
        <f t="shared" si="9"/>
        <v>05-45M-EB</v>
      </c>
      <c r="D171" s="16" t="b">
        <f t="shared" si="10"/>
        <v>1</v>
      </c>
      <c r="E171" s="16">
        <v>236</v>
      </c>
      <c r="F171" s="17">
        <v>-76.327577000000005</v>
      </c>
      <c r="G171" s="17">
        <v>42.833117000000001</v>
      </c>
      <c r="H171">
        <v>45</v>
      </c>
      <c r="I171" t="s">
        <v>362</v>
      </c>
      <c r="J171" t="s">
        <v>360</v>
      </c>
      <c r="P171">
        <v>213</v>
      </c>
      <c r="Q171">
        <v>2</v>
      </c>
      <c r="R171" s="6" t="s">
        <v>352</v>
      </c>
      <c r="S171" s="6" t="s">
        <v>355</v>
      </c>
      <c r="U171" s="14" t="str">
        <f t="shared" si="11"/>
        <v>Y</v>
      </c>
    </row>
    <row r="172" spans="1:21" customFormat="1" x14ac:dyDescent="0.25">
      <c r="A172" t="s">
        <v>160</v>
      </c>
      <c r="B172" s="16" t="s">
        <v>671</v>
      </c>
      <c r="C172" s="16" t="str">
        <f t="shared" si="9"/>
        <v>05-45M-WA</v>
      </c>
      <c r="D172" s="16" t="b">
        <f t="shared" si="10"/>
        <v>1</v>
      </c>
      <c r="E172" s="16">
        <v>54</v>
      </c>
      <c r="F172" s="17">
        <v>-76.345738999999995</v>
      </c>
      <c r="G172" s="17">
        <v>42.834465999999999</v>
      </c>
      <c r="H172">
        <v>45</v>
      </c>
      <c r="I172" t="s">
        <v>362</v>
      </c>
      <c r="J172" t="s">
        <v>359</v>
      </c>
      <c r="P172">
        <v>60</v>
      </c>
      <c r="Q172">
        <v>2</v>
      </c>
      <c r="R172" s="6" t="s">
        <v>352</v>
      </c>
      <c r="S172" s="6" t="s">
        <v>355</v>
      </c>
      <c r="T172">
        <v>3</v>
      </c>
      <c r="U172" s="14" t="str">
        <f t="shared" si="11"/>
        <v>Y</v>
      </c>
    </row>
    <row r="173" spans="1:21" customFormat="1" x14ac:dyDescent="0.25">
      <c r="A173" t="s">
        <v>286</v>
      </c>
      <c r="B173" s="16" t="s">
        <v>672</v>
      </c>
      <c r="C173" s="16" t="str">
        <f t="shared" si="9"/>
        <v>05-45M-WB</v>
      </c>
      <c r="D173" s="16" t="b">
        <f t="shared" si="10"/>
        <v>1</v>
      </c>
      <c r="E173" s="16">
        <v>80</v>
      </c>
      <c r="F173" s="17">
        <v>-76.345738999999995</v>
      </c>
      <c r="G173" s="17">
        <v>42.834465999999999</v>
      </c>
      <c r="H173">
        <v>45</v>
      </c>
      <c r="I173" t="s">
        <v>362</v>
      </c>
      <c r="J173" t="s">
        <v>360</v>
      </c>
      <c r="P173">
        <v>94</v>
      </c>
      <c r="Q173">
        <v>1</v>
      </c>
      <c r="R173" s="6" t="s">
        <v>352</v>
      </c>
      <c r="S173" s="6" t="s">
        <v>355</v>
      </c>
      <c r="U173" s="14" t="str">
        <f t="shared" si="11"/>
        <v>Y</v>
      </c>
    </row>
    <row r="174" spans="1:21" customFormat="1" x14ac:dyDescent="0.25">
      <c r="A174" t="s">
        <v>161</v>
      </c>
      <c r="B174" s="16" t="s">
        <v>673</v>
      </c>
      <c r="C174" s="16" t="str">
        <f t="shared" si="9"/>
        <v>05-52M-EA</v>
      </c>
      <c r="D174" s="16" t="b">
        <f t="shared" si="10"/>
        <v>1</v>
      </c>
      <c r="E174" s="16">
        <v>158</v>
      </c>
      <c r="F174" s="17">
        <v>-76.327667000000005</v>
      </c>
      <c r="G174" s="17">
        <v>42.833018000000003</v>
      </c>
      <c r="H174">
        <v>52</v>
      </c>
      <c r="I174" t="s">
        <v>362</v>
      </c>
      <c r="J174" t="s">
        <v>359</v>
      </c>
      <c r="P174">
        <v>140</v>
      </c>
      <c r="Q174">
        <v>1</v>
      </c>
      <c r="R174" s="6" t="s">
        <v>352</v>
      </c>
      <c r="S174" s="6" t="s">
        <v>355</v>
      </c>
      <c r="T174">
        <v>134</v>
      </c>
      <c r="U174" s="14" t="str">
        <f t="shared" si="11"/>
        <v>Y</v>
      </c>
    </row>
    <row r="175" spans="1:21" customFormat="1" x14ac:dyDescent="0.25">
      <c r="A175" t="s">
        <v>287</v>
      </c>
      <c r="B175" s="16" t="s">
        <v>674</v>
      </c>
      <c r="C175" s="16" t="str">
        <f t="shared" si="9"/>
        <v>05-52M-EB</v>
      </c>
      <c r="D175" s="16" t="b">
        <f t="shared" si="10"/>
        <v>1</v>
      </c>
      <c r="E175" s="16">
        <v>172</v>
      </c>
      <c r="F175" s="17">
        <v>-76.327667000000005</v>
      </c>
      <c r="G175" s="17">
        <v>42.833018000000003</v>
      </c>
      <c r="H175">
        <v>52</v>
      </c>
      <c r="I175" t="s">
        <v>362</v>
      </c>
      <c r="J175" t="s">
        <v>360</v>
      </c>
      <c r="P175">
        <v>163</v>
      </c>
      <c r="Q175">
        <v>2</v>
      </c>
      <c r="R175" s="6" t="s">
        <v>352</v>
      </c>
      <c r="S175" s="6" t="s">
        <v>355</v>
      </c>
      <c r="U175" s="14" t="str">
        <f t="shared" si="11"/>
        <v>Y</v>
      </c>
    </row>
    <row r="176" spans="1:21" customFormat="1" x14ac:dyDescent="0.25">
      <c r="A176" t="s">
        <v>162</v>
      </c>
      <c r="B176" s="16" t="s">
        <v>675</v>
      </c>
      <c r="C176" s="16" t="str">
        <f t="shared" si="9"/>
        <v>05-54M-WA</v>
      </c>
      <c r="D176" s="16" t="b">
        <f t="shared" si="10"/>
        <v>1</v>
      </c>
      <c r="E176" s="16">
        <v>161</v>
      </c>
      <c r="F176" s="17">
        <v>-76.345568</v>
      </c>
      <c r="G176" s="17">
        <v>42.834631000000002</v>
      </c>
      <c r="H176">
        <v>54</v>
      </c>
      <c r="I176" t="s">
        <v>362</v>
      </c>
      <c r="J176" t="s">
        <v>359</v>
      </c>
      <c r="P176">
        <v>144</v>
      </c>
      <c r="Q176">
        <v>2</v>
      </c>
      <c r="R176" s="6" t="s">
        <v>352</v>
      </c>
      <c r="S176" s="6" t="s">
        <v>355</v>
      </c>
      <c r="T176">
        <v>28</v>
      </c>
      <c r="U176" s="14" t="str">
        <f t="shared" si="11"/>
        <v>Y</v>
      </c>
    </row>
    <row r="177" spans="1:21" customFormat="1" x14ac:dyDescent="0.25">
      <c r="A177" t="s">
        <v>288</v>
      </c>
      <c r="B177" s="16" t="s">
        <v>676</v>
      </c>
      <c r="C177" s="16" t="str">
        <f t="shared" si="9"/>
        <v>05-54M-WB</v>
      </c>
      <c r="D177" s="16" t="b">
        <f t="shared" si="10"/>
        <v>1</v>
      </c>
      <c r="E177" s="16">
        <v>106</v>
      </c>
      <c r="F177" s="17">
        <v>-76.345568</v>
      </c>
      <c r="G177" s="17">
        <v>42.834631000000002</v>
      </c>
      <c r="H177">
        <v>54</v>
      </c>
      <c r="I177" t="s">
        <v>362</v>
      </c>
      <c r="J177" t="s">
        <v>360</v>
      </c>
      <c r="P177">
        <v>97</v>
      </c>
      <c r="Q177">
        <v>2</v>
      </c>
      <c r="R177" s="6" t="s">
        <v>352</v>
      </c>
      <c r="S177" s="6" t="s">
        <v>355</v>
      </c>
      <c r="U177" s="14" t="str">
        <f t="shared" si="11"/>
        <v>Y</v>
      </c>
    </row>
    <row r="178" spans="1:21" customFormat="1" x14ac:dyDescent="0.25">
      <c r="A178" t="s">
        <v>163</v>
      </c>
      <c r="B178" s="16"/>
      <c r="C178" s="16"/>
      <c r="D178" s="16" t="str">
        <f t="shared" si="10"/>
        <v/>
      </c>
      <c r="E178" s="16"/>
      <c r="F178" s="17">
        <v>-76.327703</v>
      </c>
      <c r="G178" s="17">
        <v>42.832912</v>
      </c>
      <c r="H178">
        <v>55</v>
      </c>
      <c r="I178" t="s">
        <v>362</v>
      </c>
      <c r="J178" t="s">
        <v>359</v>
      </c>
      <c r="R178" s="6"/>
      <c r="S178" s="6"/>
      <c r="T178">
        <v>43</v>
      </c>
      <c r="U178" s="14" t="str">
        <f t="shared" si="11"/>
        <v/>
      </c>
    </row>
    <row r="179" spans="1:21" customFormat="1" x14ac:dyDescent="0.25">
      <c r="A179" t="s">
        <v>164</v>
      </c>
      <c r="B179" s="16"/>
      <c r="C179" s="16"/>
      <c r="D179" s="16" t="str">
        <f t="shared" si="10"/>
        <v/>
      </c>
      <c r="E179" s="16"/>
      <c r="F179" s="17">
        <v>-76.329965000000001</v>
      </c>
      <c r="G179" s="17">
        <v>42.834690000000002</v>
      </c>
      <c r="H179">
        <v>61</v>
      </c>
      <c r="I179" t="s">
        <v>362</v>
      </c>
      <c r="J179" t="s">
        <v>359</v>
      </c>
      <c r="R179" s="6"/>
      <c r="S179" s="6"/>
      <c r="T179">
        <v>825</v>
      </c>
      <c r="U179" s="14" t="str">
        <f t="shared" si="11"/>
        <v/>
      </c>
    </row>
    <row r="180" spans="1:21" customFormat="1" x14ac:dyDescent="0.25">
      <c r="A180" t="s">
        <v>165</v>
      </c>
      <c r="B180" s="16"/>
      <c r="C180" s="16"/>
      <c r="D180" s="16" t="str">
        <f t="shared" si="10"/>
        <v/>
      </c>
      <c r="E180" s="16"/>
      <c r="F180" s="17">
        <v>-76.329965000000001</v>
      </c>
      <c r="G180" s="17">
        <v>42.834690000000002</v>
      </c>
      <c r="H180">
        <v>61</v>
      </c>
      <c r="I180" t="s">
        <v>362</v>
      </c>
      <c r="J180" t="s">
        <v>360</v>
      </c>
      <c r="R180" s="6"/>
      <c r="S180" s="6"/>
      <c r="T180">
        <v>74</v>
      </c>
      <c r="U180" s="14" t="str">
        <f t="shared" si="11"/>
        <v/>
      </c>
    </row>
    <row r="181" spans="1:21" customFormat="1" x14ac:dyDescent="0.25">
      <c r="A181" t="s">
        <v>166</v>
      </c>
      <c r="B181" s="16"/>
      <c r="C181" s="16"/>
      <c r="D181" s="16" t="str">
        <f t="shared" si="10"/>
        <v/>
      </c>
      <c r="E181" s="16"/>
      <c r="F181" s="17">
        <v>-76.345125999999993</v>
      </c>
      <c r="G181" s="17">
        <v>42.834552000000002</v>
      </c>
      <c r="H181">
        <v>61</v>
      </c>
      <c r="I181" t="s">
        <v>362</v>
      </c>
      <c r="J181" t="s">
        <v>359</v>
      </c>
      <c r="R181" s="6"/>
      <c r="S181" s="6"/>
      <c r="T181">
        <v>71</v>
      </c>
      <c r="U181" s="14" t="str">
        <f t="shared" si="11"/>
        <v/>
      </c>
    </row>
    <row r="182" spans="1:21" customFormat="1" x14ac:dyDescent="0.25">
      <c r="A182" t="s">
        <v>167</v>
      </c>
      <c r="B182" s="16"/>
      <c r="C182" s="16"/>
      <c r="D182" s="16" t="str">
        <f t="shared" si="10"/>
        <v/>
      </c>
      <c r="E182" s="16"/>
      <c r="F182" s="17">
        <v>-76.330443000000002</v>
      </c>
      <c r="G182" s="17">
        <v>42.834743000000003</v>
      </c>
      <c r="H182">
        <v>70</v>
      </c>
      <c r="I182" t="s">
        <v>362</v>
      </c>
      <c r="J182" t="s">
        <v>359</v>
      </c>
      <c r="R182" s="6"/>
      <c r="S182" s="6"/>
      <c r="T182">
        <v>283</v>
      </c>
      <c r="U182" s="14" t="str">
        <f t="shared" si="11"/>
        <v/>
      </c>
    </row>
    <row r="183" spans="1:21" customFormat="1" x14ac:dyDescent="0.25">
      <c r="A183" t="s">
        <v>168</v>
      </c>
      <c r="B183" s="16"/>
      <c r="C183" s="16"/>
      <c r="D183" s="16" t="str">
        <f t="shared" si="10"/>
        <v/>
      </c>
      <c r="E183" s="16"/>
      <c r="F183" s="17">
        <v>-76.344531000000003</v>
      </c>
      <c r="G183" s="17">
        <v>42.834690000000002</v>
      </c>
      <c r="H183">
        <v>76</v>
      </c>
      <c r="I183" t="s">
        <v>362</v>
      </c>
      <c r="J183" t="s">
        <v>359</v>
      </c>
      <c r="R183" s="6"/>
      <c r="S183" s="6"/>
      <c r="T183">
        <v>104</v>
      </c>
      <c r="U183" s="14" t="str">
        <f t="shared" si="11"/>
        <v/>
      </c>
    </row>
    <row r="184" spans="1:21" customFormat="1" x14ac:dyDescent="0.25">
      <c r="A184" t="s">
        <v>169</v>
      </c>
      <c r="B184" s="16"/>
      <c r="C184" s="16"/>
      <c r="D184" s="16" t="str">
        <f t="shared" si="10"/>
        <v/>
      </c>
      <c r="E184" s="16"/>
      <c r="F184" s="17">
        <v>-76.342611000000005</v>
      </c>
      <c r="G184" s="17">
        <v>42.834775999999998</v>
      </c>
      <c r="H184">
        <v>82</v>
      </c>
      <c r="I184" t="s">
        <v>362</v>
      </c>
      <c r="J184" t="s">
        <v>359</v>
      </c>
      <c r="R184" s="6"/>
      <c r="S184" s="6"/>
      <c r="T184">
        <v>69</v>
      </c>
      <c r="U184" s="14" t="str">
        <f t="shared" si="11"/>
        <v/>
      </c>
    </row>
    <row r="185" spans="1:21" customFormat="1" x14ac:dyDescent="0.25">
      <c r="A185" t="s">
        <v>170</v>
      </c>
      <c r="B185" s="16"/>
      <c r="C185" s="16"/>
      <c r="D185" s="16" t="str">
        <f t="shared" si="10"/>
        <v/>
      </c>
      <c r="E185" s="16"/>
      <c r="F185" s="17">
        <v>-76.336535999999995</v>
      </c>
      <c r="G185" s="17">
        <v>42.834591000000003</v>
      </c>
      <c r="H185">
        <v>84</v>
      </c>
      <c r="I185" t="s">
        <v>362</v>
      </c>
      <c r="J185" t="s">
        <v>359</v>
      </c>
      <c r="R185" s="6"/>
      <c r="S185" s="6"/>
      <c r="T185">
        <v>14</v>
      </c>
      <c r="U185" s="14" t="str">
        <f t="shared" si="11"/>
        <v/>
      </c>
    </row>
    <row r="186" spans="1:21" customFormat="1" x14ac:dyDescent="0.25">
      <c r="A186" t="s">
        <v>171</v>
      </c>
      <c r="B186" s="16" t="s">
        <v>677</v>
      </c>
      <c r="C186" s="16" t="str">
        <f t="shared" si="9"/>
        <v>06-01M-WA</v>
      </c>
      <c r="D186" s="16" t="b">
        <f t="shared" si="10"/>
        <v>1</v>
      </c>
      <c r="E186" s="16">
        <v>64</v>
      </c>
      <c r="F186" s="17">
        <v>-76.309956</v>
      </c>
      <c r="G186" s="17">
        <v>42.808920000000001</v>
      </c>
      <c r="H186">
        <v>1</v>
      </c>
      <c r="I186" t="s">
        <v>363</v>
      </c>
      <c r="J186" t="s">
        <v>359</v>
      </c>
      <c r="P186">
        <v>73</v>
      </c>
      <c r="Q186">
        <v>1</v>
      </c>
      <c r="R186" s="6" t="s">
        <v>357</v>
      </c>
      <c r="S186" s="6" t="s">
        <v>355</v>
      </c>
      <c r="T186">
        <v>67</v>
      </c>
      <c r="U186" s="14" t="str">
        <f t="shared" si="11"/>
        <v>Y</v>
      </c>
    </row>
    <row r="187" spans="1:21" customFormat="1" x14ac:dyDescent="0.25">
      <c r="A187" t="s">
        <v>289</v>
      </c>
      <c r="B187" s="16" t="s">
        <v>678</v>
      </c>
      <c r="C187" s="16" t="str">
        <f t="shared" si="9"/>
        <v>06-01M-WB</v>
      </c>
      <c r="D187" s="16" t="b">
        <f t="shared" si="10"/>
        <v>1</v>
      </c>
      <c r="E187" s="16">
        <v>48</v>
      </c>
      <c r="F187" s="17">
        <v>-76.309956</v>
      </c>
      <c r="G187" s="17">
        <v>42.808920000000001</v>
      </c>
      <c r="H187">
        <v>1</v>
      </c>
      <c r="I187" t="s">
        <v>363</v>
      </c>
      <c r="J187" t="s">
        <v>360</v>
      </c>
      <c r="P187">
        <v>59</v>
      </c>
      <c r="Q187">
        <v>0</v>
      </c>
      <c r="R187" s="6" t="s">
        <v>357</v>
      </c>
      <c r="S187" s="6" t="s">
        <v>355</v>
      </c>
      <c r="U187" s="14" t="str">
        <f t="shared" si="11"/>
        <v>Y</v>
      </c>
    </row>
    <row r="188" spans="1:21" customFormat="1" x14ac:dyDescent="0.25">
      <c r="A188" t="s">
        <v>47</v>
      </c>
      <c r="B188" s="16"/>
      <c r="C188" s="16"/>
      <c r="D188" s="16" t="str">
        <f t="shared" si="10"/>
        <v/>
      </c>
      <c r="E188" s="16"/>
      <c r="F188" s="17">
        <v>-76.302087</v>
      </c>
      <c r="G188" s="17">
        <v>42.810057499999999</v>
      </c>
      <c r="H188">
        <v>2</v>
      </c>
      <c r="I188" t="s">
        <v>363</v>
      </c>
      <c r="J188" t="s">
        <v>359</v>
      </c>
      <c r="K188">
        <v>213</v>
      </c>
      <c r="L188">
        <v>0</v>
      </c>
      <c r="M188">
        <v>0</v>
      </c>
      <c r="N188" t="s">
        <v>352</v>
      </c>
      <c r="O188" t="s">
        <v>356</v>
      </c>
      <c r="R188" s="6"/>
      <c r="S188" s="6"/>
      <c r="T188">
        <v>58</v>
      </c>
      <c r="U188" s="14" t="str">
        <f t="shared" si="11"/>
        <v>Y</v>
      </c>
    </row>
    <row r="189" spans="1:21" customFormat="1" x14ac:dyDescent="0.25">
      <c r="A189" t="s">
        <v>48</v>
      </c>
      <c r="B189" s="16"/>
      <c r="C189" s="16"/>
      <c r="D189" s="16" t="str">
        <f t="shared" si="10"/>
        <v/>
      </c>
      <c r="E189" s="16"/>
      <c r="F189" s="17">
        <v>-76.309866</v>
      </c>
      <c r="G189" s="17">
        <v>42.809066000000001</v>
      </c>
      <c r="H189">
        <v>2</v>
      </c>
      <c r="I189" t="s">
        <v>363</v>
      </c>
      <c r="J189" t="s">
        <v>359</v>
      </c>
      <c r="K189">
        <v>96</v>
      </c>
      <c r="L189">
        <v>0</v>
      </c>
      <c r="M189">
        <v>0</v>
      </c>
      <c r="N189" t="s">
        <v>352</v>
      </c>
      <c r="O189" t="s">
        <v>356</v>
      </c>
      <c r="R189" s="6"/>
      <c r="S189" s="6"/>
      <c r="U189" s="14" t="str">
        <f t="shared" si="11"/>
        <v>Y</v>
      </c>
    </row>
    <row r="190" spans="1:21" customFormat="1" x14ac:dyDescent="0.25">
      <c r="A190" t="s">
        <v>49</v>
      </c>
      <c r="B190" s="16"/>
      <c r="C190" s="16"/>
      <c r="D190" s="16" t="str">
        <f t="shared" si="10"/>
        <v/>
      </c>
      <c r="E190" s="16"/>
      <c r="F190" s="17">
        <v>-76.294272000000007</v>
      </c>
      <c r="G190" s="17">
        <v>42.811194999999998</v>
      </c>
      <c r="H190">
        <v>3</v>
      </c>
      <c r="I190" t="s">
        <v>363</v>
      </c>
      <c r="J190" t="s">
        <v>359</v>
      </c>
      <c r="K190">
        <v>153</v>
      </c>
      <c r="L190">
        <v>48</v>
      </c>
      <c r="M190">
        <v>0</v>
      </c>
      <c r="N190" t="s">
        <v>352</v>
      </c>
      <c r="O190" t="s">
        <v>356</v>
      </c>
      <c r="R190" s="6"/>
      <c r="S190" s="6"/>
      <c r="T190">
        <v>57</v>
      </c>
      <c r="U190" s="14" t="str">
        <f t="shared" si="11"/>
        <v>Y</v>
      </c>
    </row>
    <row r="191" spans="1:21" customFormat="1" x14ac:dyDescent="0.25">
      <c r="A191" t="s">
        <v>50</v>
      </c>
      <c r="B191" s="16"/>
      <c r="C191" s="16"/>
      <c r="D191" s="16" t="str">
        <f t="shared" si="10"/>
        <v/>
      </c>
      <c r="E191" s="16"/>
      <c r="F191" s="17">
        <v>-76.309730500000001</v>
      </c>
      <c r="G191" s="17">
        <v>42.808940499999999</v>
      </c>
      <c r="H191">
        <v>3</v>
      </c>
      <c r="I191" t="s">
        <v>363</v>
      </c>
      <c r="J191" t="s">
        <v>359</v>
      </c>
      <c r="K191">
        <v>34</v>
      </c>
      <c r="L191">
        <v>61</v>
      </c>
      <c r="M191">
        <v>0</v>
      </c>
      <c r="N191" t="s">
        <v>352</v>
      </c>
      <c r="O191" t="s">
        <v>353</v>
      </c>
      <c r="P191">
        <v>0</v>
      </c>
      <c r="Q191">
        <v>0</v>
      </c>
      <c r="R191" s="6" t="s">
        <v>352</v>
      </c>
      <c r="S191" s="6" t="s">
        <v>356</v>
      </c>
      <c r="T191">
        <v>115</v>
      </c>
      <c r="U191" s="14" t="str">
        <f t="shared" si="11"/>
        <v>Y</v>
      </c>
    </row>
    <row r="192" spans="1:21" customFormat="1" x14ac:dyDescent="0.25">
      <c r="A192" t="s">
        <v>331</v>
      </c>
      <c r="B192" s="16"/>
      <c r="C192" s="16"/>
      <c r="D192" s="16" t="str">
        <f t="shared" ref="D192:D222" si="12">IF(B192="","",C192=A192)</f>
        <v/>
      </c>
      <c r="E192" s="16"/>
      <c r="F192" s="17">
        <v>-76.309730500000001</v>
      </c>
      <c r="G192" s="17">
        <v>42.808940499999999</v>
      </c>
      <c r="H192">
        <v>3</v>
      </c>
      <c r="I192" t="s">
        <v>363</v>
      </c>
      <c r="J192" t="s">
        <v>360</v>
      </c>
      <c r="P192">
        <v>0</v>
      </c>
      <c r="Q192">
        <v>0</v>
      </c>
      <c r="R192" s="6" t="s">
        <v>352</v>
      </c>
      <c r="S192" s="6" t="s">
        <v>356</v>
      </c>
      <c r="U192" s="14" t="str">
        <f t="shared" si="11"/>
        <v>Y</v>
      </c>
    </row>
    <row r="193" spans="1:21" customFormat="1" x14ac:dyDescent="0.25">
      <c r="A193" t="s">
        <v>51</v>
      </c>
      <c r="B193" s="16"/>
      <c r="C193" s="16"/>
      <c r="D193" s="16" t="str">
        <f t="shared" si="12"/>
        <v/>
      </c>
      <c r="E193" s="16"/>
      <c r="F193" s="17">
        <v>-76.294408000000004</v>
      </c>
      <c r="G193" s="17">
        <v>42.811129000000001</v>
      </c>
      <c r="H193">
        <v>5</v>
      </c>
      <c r="I193" t="s">
        <v>363</v>
      </c>
      <c r="J193" t="s">
        <v>359</v>
      </c>
      <c r="K193">
        <v>40</v>
      </c>
      <c r="L193">
        <v>6</v>
      </c>
      <c r="M193">
        <v>0</v>
      </c>
      <c r="N193" t="s">
        <v>352</v>
      </c>
      <c r="O193" t="s">
        <v>353</v>
      </c>
      <c r="R193" s="6"/>
      <c r="S193" s="6"/>
      <c r="T193">
        <v>145</v>
      </c>
      <c r="U193" s="14" t="str">
        <f t="shared" si="11"/>
        <v>Y</v>
      </c>
    </row>
    <row r="194" spans="1:21" customFormat="1" x14ac:dyDescent="0.25">
      <c r="A194" t="s">
        <v>52</v>
      </c>
      <c r="B194" s="16"/>
      <c r="C194" s="16"/>
      <c r="D194" s="16" t="str">
        <f t="shared" si="12"/>
        <v/>
      </c>
      <c r="E194" s="16"/>
      <c r="F194" s="17">
        <v>-76.309663999999998</v>
      </c>
      <c r="G194" s="17">
        <v>42.809136333333299</v>
      </c>
      <c r="H194">
        <v>5</v>
      </c>
      <c r="I194" t="s">
        <v>363</v>
      </c>
      <c r="J194" t="s">
        <v>359</v>
      </c>
      <c r="K194">
        <v>341</v>
      </c>
      <c r="L194">
        <v>331</v>
      </c>
      <c r="M194">
        <v>2</v>
      </c>
      <c r="N194" t="s">
        <v>352</v>
      </c>
      <c r="O194" t="s">
        <v>355</v>
      </c>
      <c r="P194">
        <v>0</v>
      </c>
      <c r="Q194">
        <v>0</v>
      </c>
      <c r="R194" s="6" t="s">
        <v>352</v>
      </c>
      <c r="S194" s="6" t="s">
        <v>356</v>
      </c>
      <c r="T194">
        <v>55</v>
      </c>
      <c r="U194" s="14" t="str">
        <f t="shared" si="11"/>
        <v>Y</v>
      </c>
    </row>
    <row r="195" spans="1:21" customFormat="1" x14ac:dyDescent="0.25">
      <c r="A195" t="s">
        <v>332</v>
      </c>
      <c r="B195" s="16"/>
      <c r="C195" s="16"/>
      <c r="D195" s="16" t="str">
        <f t="shared" si="12"/>
        <v/>
      </c>
      <c r="E195" s="16"/>
      <c r="F195" s="17">
        <v>-76.309663999999998</v>
      </c>
      <c r="G195" s="17">
        <v>42.809136333333299</v>
      </c>
      <c r="H195">
        <v>5</v>
      </c>
      <c r="I195" t="s">
        <v>363</v>
      </c>
      <c r="J195" t="s">
        <v>360</v>
      </c>
      <c r="P195">
        <v>0</v>
      </c>
      <c r="Q195">
        <v>2</v>
      </c>
      <c r="R195" s="6" t="s">
        <v>352</v>
      </c>
      <c r="S195" s="6" t="s">
        <v>356</v>
      </c>
      <c r="U195" s="14" t="str">
        <f t="shared" ref="U195:U258" si="13">IF(OR(Q195&lt;&gt;"", M195&lt;&gt;""), "Y", "")</f>
        <v>Y</v>
      </c>
    </row>
    <row r="196" spans="1:21" customFormat="1" x14ac:dyDescent="0.25">
      <c r="A196" t="s">
        <v>53</v>
      </c>
      <c r="B196" s="16" t="s">
        <v>679</v>
      </c>
      <c r="C196" s="16" t="str">
        <f t="shared" si="9"/>
        <v>06-08M-EA</v>
      </c>
      <c r="D196" s="16" t="b">
        <f t="shared" si="12"/>
        <v>1</v>
      </c>
      <c r="E196" s="16">
        <v>117</v>
      </c>
      <c r="F196" s="17">
        <v>-76.294479999999993</v>
      </c>
      <c r="G196" s="17">
        <v>42.811017</v>
      </c>
      <c r="H196">
        <v>8</v>
      </c>
      <c r="I196" t="s">
        <v>363</v>
      </c>
      <c r="J196" t="s">
        <v>359</v>
      </c>
      <c r="K196">
        <v>151</v>
      </c>
      <c r="L196">
        <v>55</v>
      </c>
      <c r="M196">
        <v>0</v>
      </c>
      <c r="N196" t="s">
        <v>352</v>
      </c>
      <c r="O196" t="s">
        <v>353</v>
      </c>
      <c r="P196">
        <v>93</v>
      </c>
      <c r="Q196">
        <v>0</v>
      </c>
      <c r="R196" s="6" t="s">
        <v>352</v>
      </c>
      <c r="S196" s="6" t="s">
        <v>354</v>
      </c>
      <c r="T196">
        <v>540</v>
      </c>
      <c r="U196" s="14" t="str">
        <f t="shared" si="13"/>
        <v>Y</v>
      </c>
    </row>
    <row r="197" spans="1:21" customFormat="1" x14ac:dyDescent="0.25">
      <c r="A197" t="s">
        <v>54</v>
      </c>
      <c r="B197" s="16"/>
      <c r="C197" s="16"/>
      <c r="D197" s="16" t="str">
        <f t="shared" si="12"/>
        <v/>
      </c>
      <c r="E197" s="16"/>
      <c r="F197" s="17">
        <v>-76.309595000000002</v>
      </c>
      <c r="G197" s="17">
        <v>42.809291000000002</v>
      </c>
      <c r="H197">
        <v>8</v>
      </c>
      <c r="I197" t="s">
        <v>363</v>
      </c>
      <c r="J197" t="s">
        <v>359</v>
      </c>
      <c r="K197">
        <v>174</v>
      </c>
      <c r="L197">
        <v>36</v>
      </c>
      <c r="M197">
        <v>0</v>
      </c>
      <c r="N197" t="s">
        <v>352</v>
      </c>
      <c r="O197" t="s">
        <v>356</v>
      </c>
      <c r="P197">
        <v>0</v>
      </c>
      <c r="Q197">
        <v>0</v>
      </c>
      <c r="R197" s="6" t="s">
        <v>352</v>
      </c>
      <c r="S197" s="6" t="s">
        <v>356</v>
      </c>
      <c r="T197">
        <v>316</v>
      </c>
      <c r="U197" s="14" t="str">
        <f t="shared" si="13"/>
        <v>Y</v>
      </c>
    </row>
    <row r="198" spans="1:21" customFormat="1" x14ac:dyDescent="0.25">
      <c r="A198" t="s">
        <v>333</v>
      </c>
      <c r="B198" s="16"/>
      <c r="C198" s="16"/>
      <c r="D198" s="16" t="str">
        <f t="shared" si="12"/>
        <v/>
      </c>
      <c r="E198" s="16"/>
      <c r="F198" s="17">
        <v>-76.309595000000002</v>
      </c>
      <c r="G198" s="17">
        <v>42.809291000000002</v>
      </c>
      <c r="H198">
        <v>8</v>
      </c>
      <c r="I198" t="s">
        <v>363</v>
      </c>
      <c r="J198" t="s">
        <v>360</v>
      </c>
      <c r="P198">
        <v>44</v>
      </c>
      <c r="Q198">
        <v>0</v>
      </c>
      <c r="R198" s="6" t="s">
        <v>352</v>
      </c>
      <c r="S198" s="6" t="s">
        <v>356</v>
      </c>
      <c r="U198" s="14" t="str">
        <f t="shared" si="13"/>
        <v>Y</v>
      </c>
    </row>
    <row r="199" spans="1:21" customFormat="1" x14ac:dyDescent="0.25">
      <c r="A199" t="s">
        <v>55</v>
      </c>
      <c r="B199" s="16"/>
      <c r="C199" s="16"/>
      <c r="D199" s="16" t="str">
        <f t="shared" si="12"/>
        <v/>
      </c>
      <c r="E199" s="16"/>
      <c r="F199" s="17">
        <v>-76.294551999999996</v>
      </c>
      <c r="G199" s="17">
        <v>42.810949999999998</v>
      </c>
      <c r="H199">
        <v>11</v>
      </c>
      <c r="I199" t="s">
        <v>363</v>
      </c>
      <c r="J199" t="s">
        <v>359</v>
      </c>
      <c r="K199">
        <v>480</v>
      </c>
      <c r="L199">
        <v>301</v>
      </c>
      <c r="M199">
        <v>2</v>
      </c>
      <c r="N199" t="s">
        <v>352</v>
      </c>
      <c r="O199" t="s">
        <v>355</v>
      </c>
      <c r="R199" s="6"/>
      <c r="S199" s="6"/>
      <c r="T199">
        <v>206</v>
      </c>
      <c r="U199" s="14" t="str">
        <f t="shared" si="13"/>
        <v>Y</v>
      </c>
    </row>
    <row r="200" spans="1:21" customFormat="1" x14ac:dyDescent="0.25">
      <c r="A200" t="s">
        <v>172</v>
      </c>
      <c r="B200" s="16"/>
      <c r="C200" s="16"/>
      <c r="D200" s="16" t="str">
        <f t="shared" si="12"/>
        <v/>
      </c>
      <c r="E200" s="16"/>
      <c r="F200" s="17">
        <v>-76.294551999999996</v>
      </c>
      <c r="G200" s="17">
        <v>42.810949999999998</v>
      </c>
      <c r="H200">
        <v>11</v>
      </c>
      <c r="I200" t="s">
        <v>363</v>
      </c>
      <c r="J200" t="s">
        <v>360</v>
      </c>
      <c r="R200" s="6"/>
      <c r="S200" s="6"/>
      <c r="T200">
        <v>266</v>
      </c>
      <c r="U200" s="14" t="str">
        <f t="shared" si="13"/>
        <v/>
      </c>
    </row>
    <row r="201" spans="1:21" customFormat="1" x14ac:dyDescent="0.25">
      <c r="A201" t="s">
        <v>56</v>
      </c>
      <c r="B201" s="16"/>
      <c r="C201" s="16"/>
      <c r="D201" s="16" t="str">
        <f t="shared" si="12"/>
        <v/>
      </c>
      <c r="E201" s="16"/>
      <c r="F201" s="17">
        <v>-76.3094617615902</v>
      </c>
      <c r="G201" s="17">
        <v>42.809365283385802</v>
      </c>
      <c r="H201">
        <v>11</v>
      </c>
      <c r="I201" t="s">
        <v>363</v>
      </c>
      <c r="J201" t="s">
        <v>359</v>
      </c>
      <c r="K201">
        <v>273</v>
      </c>
      <c r="R201" s="6"/>
      <c r="S201" s="6"/>
      <c r="U201" s="14" t="str">
        <f t="shared" si="13"/>
        <v/>
      </c>
    </row>
    <row r="202" spans="1:21" customFormat="1" x14ac:dyDescent="0.25">
      <c r="A202" t="s">
        <v>173</v>
      </c>
      <c r="B202" s="16" t="s">
        <v>680</v>
      </c>
      <c r="C202" s="16" t="str">
        <f t="shared" si="9"/>
        <v>06-12M-WA</v>
      </c>
      <c r="D202" s="16" t="b">
        <f t="shared" si="12"/>
        <v>1</v>
      </c>
      <c r="E202" s="16">
        <v>62</v>
      </c>
      <c r="F202" s="17">
        <v>-76.309424000000007</v>
      </c>
      <c r="G202" s="17">
        <v>42.809382999999997</v>
      </c>
      <c r="H202">
        <v>12</v>
      </c>
      <c r="I202" t="s">
        <v>363</v>
      </c>
      <c r="J202" t="s">
        <v>359</v>
      </c>
      <c r="P202">
        <v>56</v>
      </c>
      <c r="Q202">
        <v>1</v>
      </c>
      <c r="R202" s="6" t="s">
        <v>352</v>
      </c>
      <c r="S202" s="6" t="s">
        <v>355</v>
      </c>
      <c r="T202">
        <v>58</v>
      </c>
      <c r="U202" s="14" t="str">
        <f t="shared" si="13"/>
        <v>Y</v>
      </c>
    </row>
    <row r="203" spans="1:21" customFormat="1" x14ac:dyDescent="0.25">
      <c r="A203" t="s">
        <v>290</v>
      </c>
      <c r="B203" s="16" t="s">
        <v>681</v>
      </c>
      <c r="C203" s="16" t="str">
        <f t="shared" si="9"/>
        <v>06-12M-WB</v>
      </c>
      <c r="D203" s="16" t="b">
        <f t="shared" si="12"/>
        <v>1</v>
      </c>
      <c r="E203" s="16">
        <v>131</v>
      </c>
      <c r="F203" s="17">
        <v>-76.309424000000007</v>
      </c>
      <c r="G203" s="17">
        <v>42.809382999999997</v>
      </c>
      <c r="H203">
        <v>12</v>
      </c>
      <c r="I203" t="s">
        <v>363</v>
      </c>
      <c r="J203" t="s">
        <v>360</v>
      </c>
      <c r="P203">
        <v>103</v>
      </c>
      <c r="Q203">
        <v>2</v>
      </c>
      <c r="R203" s="6" t="s">
        <v>352</v>
      </c>
      <c r="S203" s="6" t="s">
        <v>355</v>
      </c>
      <c r="U203" s="14" t="str">
        <f t="shared" si="13"/>
        <v>Y</v>
      </c>
    </row>
    <row r="204" spans="1:21" customFormat="1" x14ac:dyDescent="0.25">
      <c r="A204" t="s">
        <v>57</v>
      </c>
      <c r="B204" s="16"/>
      <c r="C204" s="16"/>
      <c r="D204" s="16" t="str">
        <f t="shared" si="12"/>
        <v/>
      </c>
      <c r="E204" s="16"/>
      <c r="F204" s="17">
        <v>-76.294614999999993</v>
      </c>
      <c r="G204" s="17">
        <v>42.810983999999998</v>
      </c>
      <c r="H204">
        <v>14</v>
      </c>
      <c r="I204" t="s">
        <v>363</v>
      </c>
      <c r="J204" t="s">
        <v>359</v>
      </c>
      <c r="K204">
        <v>518</v>
      </c>
      <c r="L204">
        <v>167</v>
      </c>
      <c r="M204">
        <v>1</v>
      </c>
      <c r="N204" t="s">
        <v>352</v>
      </c>
      <c r="O204" t="s">
        <v>355</v>
      </c>
      <c r="R204" s="6"/>
      <c r="S204" s="6"/>
      <c r="T204">
        <v>209</v>
      </c>
      <c r="U204" s="14" t="str">
        <f t="shared" si="13"/>
        <v>Y</v>
      </c>
    </row>
    <row r="205" spans="1:21" customFormat="1" x14ac:dyDescent="0.25">
      <c r="A205" t="s">
        <v>174</v>
      </c>
      <c r="B205" s="16"/>
      <c r="C205" s="16"/>
      <c r="D205" s="16" t="str">
        <f t="shared" si="12"/>
        <v/>
      </c>
      <c r="E205" s="16"/>
      <c r="F205" s="17">
        <v>-76.294614999999993</v>
      </c>
      <c r="G205" s="17">
        <v>42.810983999999998</v>
      </c>
      <c r="H205">
        <v>14</v>
      </c>
      <c r="I205" t="s">
        <v>363</v>
      </c>
      <c r="J205" t="s">
        <v>360</v>
      </c>
      <c r="R205" s="6"/>
      <c r="S205" s="6"/>
      <c r="T205">
        <v>100</v>
      </c>
      <c r="U205" s="14" t="str">
        <f t="shared" si="13"/>
        <v/>
      </c>
    </row>
    <row r="206" spans="1:21" customFormat="1" x14ac:dyDescent="0.25">
      <c r="A206" t="s">
        <v>175</v>
      </c>
      <c r="B206" s="16" t="s">
        <v>682</v>
      </c>
      <c r="C206" s="16" t="str">
        <f t="shared" si="9"/>
        <v>06-14M-WA</v>
      </c>
      <c r="D206" s="16" t="b">
        <f t="shared" si="12"/>
        <v>1</v>
      </c>
      <c r="E206" s="16">
        <v>184</v>
      </c>
      <c r="F206" s="17">
        <v>-76.309289000000007</v>
      </c>
      <c r="G206" s="17">
        <v>42.809323999999997</v>
      </c>
      <c r="H206">
        <v>14</v>
      </c>
      <c r="I206" t="s">
        <v>363</v>
      </c>
      <c r="J206" t="s">
        <v>359</v>
      </c>
      <c r="P206">
        <v>160</v>
      </c>
      <c r="Q206">
        <v>0</v>
      </c>
      <c r="R206" s="6" t="s">
        <v>352</v>
      </c>
      <c r="S206" s="6" t="s">
        <v>355</v>
      </c>
      <c r="T206">
        <v>101</v>
      </c>
      <c r="U206" s="14" t="str">
        <f t="shared" si="13"/>
        <v>Y</v>
      </c>
    </row>
    <row r="207" spans="1:21" customFormat="1" x14ac:dyDescent="0.25">
      <c r="A207" t="s">
        <v>334</v>
      </c>
      <c r="B207" s="16"/>
      <c r="C207" s="16"/>
      <c r="D207" s="16" t="str">
        <f t="shared" si="12"/>
        <v/>
      </c>
      <c r="E207" s="16"/>
      <c r="F207" s="17">
        <v>-76.309289000000007</v>
      </c>
      <c r="G207" s="17">
        <v>42.809323999999997</v>
      </c>
      <c r="H207">
        <v>14</v>
      </c>
      <c r="I207" t="s">
        <v>363</v>
      </c>
      <c r="J207" t="s">
        <v>360</v>
      </c>
      <c r="P207">
        <v>26</v>
      </c>
      <c r="Q207">
        <v>0</v>
      </c>
      <c r="R207" s="6" t="s">
        <v>352</v>
      </c>
      <c r="S207" s="6" t="s">
        <v>353</v>
      </c>
      <c r="U207" s="14" t="str">
        <f t="shared" si="13"/>
        <v>Y</v>
      </c>
    </row>
    <row r="208" spans="1:21" customFormat="1" x14ac:dyDescent="0.25">
      <c r="A208" t="s">
        <v>58</v>
      </c>
      <c r="B208" s="16"/>
      <c r="C208" s="16"/>
      <c r="D208" s="16" t="str">
        <f t="shared" si="12"/>
        <v/>
      </c>
      <c r="E208" s="16"/>
      <c r="F208" s="17">
        <v>-76.294678000000005</v>
      </c>
      <c r="G208" s="17">
        <v>42.810949999999998</v>
      </c>
      <c r="H208">
        <v>17</v>
      </c>
      <c r="I208" t="s">
        <v>363</v>
      </c>
      <c r="J208" t="s">
        <v>359</v>
      </c>
      <c r="K208">
        <v>93</v>
      </c>
      <c r="L208">
        <v>121</v>
      </c>
      <c r="M208">
        <v>1</v>
      </c>
      <c r="N208" t="s">
        <v>352</v>
      </c>
      <c r="O208" t="s">
        <v>355</v>
      </c>
      <c r="R208" s="6"/>
      <c r="S208" s="6"/>
      <c r="T208">
        <v>219</v>
      </c>
      <c r="U208" s="14" t="str">
        <f t="shared" si="13"/>
        <v>Y</v>
      </c>
    </row>
    <row r="209" spans="1:21" customFormat="1" x14ac:dyDescent="0.25">
      <c r="A209" t="s">
        <v>176</v>
      </c>
      <c r="B209" s="16" t="s">
        <v>683</v>
      </c>
      <c r="C209" s="16" t="str">
        <f t="shared" si="9"/>
        <v>06-17M-WA</v>
      </c>
      <c r="D209" s="16" t="b">
        <f t="shared" si="12"/>
        <v>1</v>
      </c>
      <c r="E209" s="16">
        <v>108</v>
      </c>
      <c r="F209" s="17">
        <v>-76.309134999999998</v>
      </c>
      <c r="G209" s="17">
        <v>42.809303999999997</v>
      </c>
      <c r="H209">
        <v>17</v>
      </c>
      <c r="I209" t="s">
        <v>363</v>
      </c>
      <c r="J209" t="s">
        <v>359</v>
      </c>
      <c r="P209">
        <v>99</v>
      </c>
      <c r="Q209">
        <v>2</v>
      </c>
      <c r="R209" s="6" t="s">
        <v>352</v>
      </c>
      <c r="S209" s="6" t="s">
        <v>355</v>
      </c>
      <c r="T209">
        <v>190</v>
      </c>
      <c r="U209" s="14" t="str">
        <f t="shared" si="13"/>
        <v>Y</v>
      </c>
    </row>
    <row r="210" spans="1:21" customFormat="1" x14ac:dyDescent="0.25">
      <c r="A210" t="s">
        <v>291</v>
      </c>
      <c r="B210" s="16" t="s">
        <v>684</v>
      </c>
      <c r="C210" s="16" t="str">
        <f t="shared" si="9"/>
        <v>06-17M-WB</v>
      </c>
      <c r="D210" s="16" t="b">
        <f t="shared" si="12"/>
        <v>1</v>
      </c>
      <c r="E210" s="16">
        <v>133</v>
      </c>
      <c r="F210" s="17">
        <v>-76.309134999999998</v>
      </c>
      <c r="G210" s="17">
        <v>42.809303999999997</v>
      </c>
      <c r="H210">
        <v>17</v>
      </c>
      <c r="I210" t="s">
        <v>363</v>
      </c>
      <c r="J210" t="s">
        <v>360</v>
      </c>
      <c r="P210">
        <v>122</v>
      </c>
      <c r="Q210">
        <v>2</v>
      </c>
      <c r="R210" s="6" t="s">
        <v>352</v>
      </c>
      <c r="S210" s="6" t="s">
        <v>355</v>
      </c>
      <c r="U210" s="14" t="str">
        <f t="shared" si="13"/>
        <v>Y</v>
      </c>
    </row>
    <row r="211" spans="1:21" customFormat="1" x14ac:dyDescent="0.25">
      <c r="A211" t="s">
        <v>177</v>
      </c>
      <c r="B211" s="16" t="s">
        <v>685</v>
      </c>
      <c r="C211" s="16" t="str">
        <f t="shared" si="9"/>
        <v>06-24M-EA</v>
      </c>
      <c r="D211" s="16" t="b">
        <f t="shared" si="12"/>
        <v>1</v>
      </c>
      <c r="E211" s="16">
        <v>648</v>
      </c>
      <c r="F211" s="17">
        <v>-76.293622999999997</v>
      </c>
      <c r="G211" s="17">
        <v>42.809680999999998</v>
      </c>
      <c r="H211">
        <v>24</v>
      </c>
      <c r="I211" t="s">
        <v>363</v>
      </c>
      <c r="J211" t="s">
        <v>359</v>
      </c>
      <c r="P211">
        <v>575</v>
      </c>
      <c r="Q211">
        <v>2</v>
      </c>
      <c r="R211" s="6" t="s">
        <v>352</v>
      </c>
      <c r="S211" s="6" t="s">
        <v>355</v>
      </c>
      <c r="T211">
        <v>96</v>
      </c>
      <c r="U211" s="14" t="str">
        <f t="shared" si="13"/>
        <v>Y</v>
      </c>
    </row>
    <row r="212" spans="1:21" customFormat="1" x14ac:dyDescent="0.25">
      <c r="A212" t="s">
        <v>335</v>
      </c>
      <c r="B212" s="16"/>
      <c r="C212" s="16"/>
      <c r="D212" s="16" t="str">
        <f t="shared" si="12"/>
        <v/>
      </c>
      <c r="E212" s="16"/>
      <c r="F212" s="17">
        <v>-76.293622999999997</v>
      </c>
      <c r="G212" s="17">
        <v>42.809680999999998</v>
      </c>
      <c r="H212">
        <v>24</v>
      </c>
      <c r="I212" t="s">
        <v>363</v>
      </c>
      <c r="J212" t="s">
        <v>360</v>
      </c>
      <c r="P212">
        <v>0</v>
      </c>
      <c r="Q212">
        <v>0</v>
      </c>
      <c r="R212" s="6" t="s">
        <v>352</v>
      </c>
      <c r="S212" s="6" t="s">
        <v>355</v>
      </c>
      <c r="U212" s="14" t="str">
        <f t="shared" si="13"/>
        <v>Y</v>
      </c>
    </row>
    <row r="213" spans="1:21" customFormat="1" x14ac:dyDescent="0.25">
      <c r="A213" t="s">
        <v>178</v>
      </c>
      <c r="B213" s="16" t="s">
        <v>686</v>
      </c>
      <c r="C213" s="16" t="str">
        <f t="shared" si="9"/>
        <v>06-24M-WA</v>
      </c>
      <c r="D213" s="16" t="b">
        <f t="shared" si="12"/>
        <v>1</v>
      </c>
      <c r="E213" s="16">
        <v>171</v>
      </c>
      <c r="F213" s="17">
        <v>-76.308937</v>
      </c>
      <c r="G213" s="17">
        <v>42.809263999999999</v>
      </c>
      <c r="H213">
        <v>24</v>
      </c>
      <c r="I213" t="s">
        <v>363</v>
      </c>
      <c r="J213" t="s">
        <v>359</v>
      </c>
      <c r="P213">
        <v>186</v>
      </c>
      <c r="Q213">
        <v>1</v>
      </c>
      <c r="R213" s="6" t="s">
        <v>352</v>
      </c>
      <c r="S213" s="6" t="s">
        <v>355</v>
      </c>
      <c r="T213">
        <v>23</v>
      </c>
      <c r="U213" s="14" t="str">
        <f t="shared" si="13"/>
        <v>Y</v>
      </c>
    </row>
    <row r="214" spans="1:21" customFormat="1" x14ac:dyDescent="0.25">
      <c r="A214" t="s">
        <v>292</v>
      </c>
      <c r="B214" s="16" t="s">
        <v>687</v>
      </c>
      <c r="C214" s="16" t="str">
        <f t="shared" si="9"/>
        <v>06-24M-WB</v>
      </c>
      <c r="D214" s="16" t="b">
        <f t="shared" si="12"/>
        <v>1</v>
      </c>
      <c r="E214" s="16">
        <v>168</v>
      </c>
      <c r="F214" s="17">
        <v>-76.308937</v>
      </c>
      <c r="G214" s="17">
        <v>42.809263999999999</v>
      </c>
      <c r="H214">
        <v>24</v>
      </c>
      <c r="I214" t="s">
        <v>363</v>
      </c>
      <c r="J214" t="s">
        <v>360</v>
      </c>
      <c r="P214">
        <v>187</v>
      </c>
      <c r="Q214">
        <v>1</v>
      </c>
      <c r="R214" s="6" t="s">
        <v>352</v>
      </c>
      <c r="S214" s="6" t="s">
        <v>355</v>
      </c>
      <c r="U214" s="14" t="str">
        <f t="shared" si="13"/>
        <v>Y</v>
      </c>
    </row>
    <row r="215" spans="1:21" customFormat="1" x14ac:dyDescent="0.25">
      <c r="A215" t="s">
        <v>293</v>
      </c>
      <c r="B215" s="16" t="s">
        <v>688</v>
      </c>
      <c r="C215" s="16" t="str">
        <f t="shared" si="9"/>
        <v>06-30M-WA</v>
      </c>
      <c r="D215" s="16" t="b">
        <f t="shared" si="12"/>
        <v>1</v>
      </c>
      <c r="E215" s="16">
        <v>313</v>
      </c>
      <c r="F215" s="17">
        <v>-76.308739000000003</v>
      </c>
      <c r="G215" s="17">
        <v>42.809251000000003</v>
      </c>
      <c r="H215">
        <v>30</v>
      </c>
      <c r="I215" t="s">
        <v>363</v>
      </c>
      <c r="J215" t="s">
        <v>359</v>
      </c>
      <c r="P215">
        <v>292</v>
      </c>
      <c r="Q215">
        <v>1</v>
      </c>
      <c r="R215" s="6" t="s">
        <v>352</v>
      </c>
      <c r="S215" s="6" t="s">
        <v>355</v>
      </c>
      <c r="T215">
        <v>129</v>
      </c>
      <c r="U215" s="14" t="str">
        <f t="shared" si="13"/>
        <v>Y</v>
      </c>
    </row>
    <row r="216" spans="1:21" customFormat="1" x14ac:dyDescent="0.25">
      <c r="A216" t="s">
        <v>294</v>
      </c>
      <c r="B216" s="16" t="s">
        <v>689</v>
      </c>
      <c r="C216" s="16" t="str">
        <f t="shared" si="9"/>
        <v>06-30M-WB</v>
      </c>
      <c r="D216" s="16" t="b">
        <f t="shared" si="12"/>
        <v>1</v>
      </c>
      <c r="E216" s="16">
        <v>183</v>
      </c>
      <c r="F216" s="17">
        <v>-76.308739000000003</v>
      </c>
      <c r="G216" s="17">
        <v>42.809251000000003</v>
      </c>
      <c r="H216">
        <v>30</v>
      </c>
      <c r="I216" t="s">
        <v>363</v>
      </c>
      <c r="J216" t="s">
        <v>360</v>
      </c>
      <c r="P216">
        <v>162</v>
      </c>
      <c r="Q216">
        <v>1</v>
      </c>
      <c r="R216" s="6" t="s">
        <v>352</v>
      </c>
      <c r="S216" s="6" t="s">
        <v>355</v>
      </c>
      <c r="U216" s="14" t="str">
        <f t="shared" si="13"/>
        <v>Y</v>
      </c>
    </row>
    <row r="217" spans="1:21" customFormat="1" x14ac:dyDescent="0.25">
      <c r="A217" t="s">
        <v>179</v>
      </c>
      <c r="B217" s="16" t="s">
        <v>690</v>
      </c>
      <c r="C217" s="16" t="str">
        <f t="shared" si="9"/>
        <v>06-31M-EA</v>
      </c>
      <c r="D217" s="16" t="b">
        <f t="shared" si="12"/>
        <v>1</v>
      </c>
      <c r="E217" s="16">
        <v>146</v>
      </c>
      <c r="F217" s="17">
        <v>-76.293777000000006</v>
      </c>
      <c r="G217" s="17">
        <v>42.809516000000002</v>
      </c>
      <c r="H217">
        <v>31</v>
      </c>
      <c r="I217" t="s">
        <v>363</v>
      </c>
      <c r="J217" t="s">
        <v>359</v>
      </c>
      <c r="P217">
        <v>167</v>
      </c>
      <c r="Q217">
        <v>2</v>
      </c>
      <c r="R217" s="6" t="s">
        <v>352</v>
      </c>
      <c r="S217" s="6" t="s">
        <v>355</v>
      </c>
      <c r="T217">
        <v>40</v>
      </c>
      <c r="U217" s="14" t="str">
        <f t="shared" si="13"/>
        <v>Y</v>
      </c>
    </row>
    <row r="218" spans="1:21" customFormat="1" x14ac:dyDescent="0.25">
      <c r="A218" t="s">
        <v>180</v>
      </c>
      <c r="B218" s="16" t="s">
        <v>691</v>
      </c>
      <c r="C218" s="16" t="str">
        <f t="shared" si="9"/>
        <v>06-35M-WA</v>
      </c>
      <c r="D218" s="16" t="b">
        <f t="shared" si="12"/>
        <v>1</v>
      </c>
      <c r="E218" s="16">
        <v>156</v>
      </c>
      <c r="F218" s="17">
        <v>-76.308504999999997</v>
      </c>
      <c r="G218" s="17">
        <v>42.809263999999999</v>
      </c>
      <c r="H218">
        <v>35</v>
      </c>
      <c r="I218" t="s">
        <v>363</v>
      </c>
      <c r="J218" t="s">
        <v>359</v>
      </c>
      <c r="P218">
        <v>153</v>
      </c>
      <c r="Q218">
        <v>2</v>
      </c>
      <c r="R218" s="6" t="s">
        <v>352</v>
      </c>
      <c r="S218" s="6" t="s">
        <v>355</v>
      </c>
      <c r="T218">
        <v>166</v>
      </c>
      <c r="U218" s="14" t="str">
        <f t="shared" si="13"/>
        <v>Y</v>
      </c>
    </row>
    <row r="219" spans="1:21" customFormat="1" x14ac:dyDescent="0.25">
      <c r="A219" t="s">
        <v>295</v>
      </c>
      <c r="B219" s="16" t="s">
        <v>692</v>
      </c>
      <c r="C219" s="16" t="str">
        <f t="shared" si="9"/>
        <v>06-35M-WB</v>
      </c>
      <c r="D219" s="16" t="b">
        <f t="shared" si="12"/>
        <v>1</v>
      </c>
      <c r="E219" s="16">
        <v>144</v>
      </c>
      <c r="F219" s="17">
        <v>-76.308504999999997</v>
      </c>
      <c r="G219" s="17">
        <v>42.809263999999999</v>
      </c>
      <c r="H219">
        <v>35</v>
      </c>
      <c r="I219" t="s">
        <v>363</v>
      </c>
      <c r="J219" t="s">
        <v>360</v>
      </c>
      <c r="P219">
        <v>130</v>
      </c>
      <c r="Q219">
        <v>2</v>
      </c>
      <c r="R219" s="6" t="s">
        <v>352</v>
      </c>
      <c r="S219" s="6" t="s">
        <v>355</v>
      </c>
      <c r="U219" s="14" t="str">
        <f t="shared" si="13"/>
        <v>Y</v>
      </c>
    </row>
    <row r="220" spans="1:21" customFormat="1" x14ac:dyDescent="0.25">
      <c r="A220" t="s">
        <v>181</v>
      </c>
      <c r="B220" s="16" t="s">
        <v>693</v>
      </c>
      <c r="C220" s="16" t="str">
        <f t="shared" si="9"/>
        <v>06-38M-EA</v>
      </c>
      <c r="D220" s="16" t="b">
        <f t="shared" si="12"/>
        <v>1</v>
      </c>
      <c r="E220" s="16">
        <v>128</v>
      </c>
      <c r="F220" s="17">
        <v>-76.293858</v>
      </c>
      <c r="G220" s="17">
        <v>42.809475999999997</v>
      </c>
      <c r="H220">
        <v>38</v>
      </c>
      <c r="I220" t="s">
        <v>363</v>
      </c>
      <c r="J220" t="s">
        <v>359</v>
      </c>
      <c r="P220">
        <v>124</v>
      </c>
      <c r="Q220">
        <v>1</v>
      </c>
      <c r="R220" s="6" t="s">
        <v>352</v>
      </c>
      <c r="S220" s="6" t="s">
        <v>355</v>
      </c>
      <c r="T220">
        <v>152</v>
      </c>
      <c r="U220" s="14" t="str">
        <f t="shared" si="13"/>
        <v>Y</v>
      </c>
    </row>
    <row r="221" spans="1:21" customFormat="1" x14ac:dyDescent="0.25">
      <c r="A221" t="s">
        <v>182</v>
      </c>
      <c r="B221" s="16" t="s">
        <v>694</v>
      </c>
      <c r="C221" s="16" t="str">
        <f t="shared" si="9"/>
        <v>06-43M-WA</v>
      </c>
      <c r="D221" s="16" t="b">
        <f t="shared" si="12"/>
        <v>1</v>
      </c>
      <c r="E221" s="16">
        <v>89</v>
      </c>
      <c r="F221" s="17">
        <v>-76.308386999999996</v>
      </c>
      <c r="G221" s="17">
        <v>42.809364000000002</v>
      </c>
      <c r="H221">
        <v>43</v>
      </c>
      <c r="I221" t="s">
        <v>363</v>
      </c>
      <c r="J221" t="s">
        <v>359</v>
      </c>
      <c r="P221">
        <v>105</v>
      </c>
      <c r="Q221">
        <v>2</v>
      </c>
      <c r="R221" s="6" t="s">
        <v>352</v>
      </c>
      <c r="S221" s="6" t="s">
        <v>355</v>
      </c>
      <c r="T221">
        <v>185</v>
      </c>
      <c r="U221" s="14" t="str">
        <f t="shared" si="13"/>
        <v>Y</v>
      </c>
    </row>
    <row r="222" spans="1:21" customFormat="1" x14ac:dyDescent="0.25">
      <c r="A222" t="s">
        <v>296</v>
      </c>
      <c r="B222" s="16" t="s">
        <v>695</v>
      </c>
      <c r="C222" s="16" t="str">
        <f t="shared" si="9"/>
        <v>06-43M-WB</v>
      </c>
      <c r="D222" s="16" t="b">
        <f t="shared" si="12"/>
        <v>1</v>
      </c>
      <c r="E222" s="16">
        <v>184</v>
      </c>
      <c r="F222" s="17">
        <v>-76.308386999999996</v>
      </c>
      <c r="G222" s="17">
        <v>42.809364000000002</v>
      </c>
      <c r="H222">
        <v>43</v>
      </c>
      <c r="I222" t="s">
        <v>363</v>
      </c>
      <c r="J222" t="s">
        <v>360</v>
      </c>
      <c r="P222">
        <v>210</v>
      </c>
      <c r="Q222">
        <v>2</v>
      </c>
      <c r="R222" s="6" t="s">
        <v>352</v>
      </c>
      <c r="S222" s="6" t="s">
        <v>355</v>
      </c>
      <c r="U222" s="14" t="str">
        <f t="shared" si="13"/>
        <v>Y</v>
      </c>
    </row>
    <row r="223" spans="1:21" customFormat="1" x14ac:dyDescent="0.25">
      <c r="A223" s="14" t="s">
        <v>183</v>
      </c>
      <c r="B223" s="16" t="s">
        <v>696</v>
      </c>
      <c r="C223" s="16" t="str">
        <f t="shared" ref="C223:C256" si="14">UPPER(RIGHT(B223,9))</f>
        <v>06-45M-EA</v>
      </c>
      <c r="D223" s="16" t="b">
        <f t="shared" ref="D223:D256" si="15">IF(B223="","",C223=A223)</f>
        <v>1</v>
      </c>
      <c r="E223" s="16">
        <v>80</v>
      </c>
      <c r="F223" s="17">
        <v>-76.294020000000003</v>
      </c>
      <c r="G223" s="17">
        <v>42.809443000000002</v>
      </c>
      <c r="H223" s="14">
        <v>45</v>
      </c>
      <c r="I223" s="14" t="s">
        <v>363</v>
      </c>
      <c r="J223" s="14" t="s">
        <v>359</v>
      </c>
      <c r="K223" s="14"/>
      <c r="L223" s="14"/>
      <c r="M223" s="14"/>
      <c r="N223" s="14"/>
      <c r="O223" s="14"/>
      <c r="P223" s="14">
        <v>86</v>
      </c>
      <c r="Q223" s="14">
        <v>1</v>
      </c>
      <c r="R223" s="14" t="s">
        <v>352</v>
      </c>
      <c r="S223" s="14" t="s">
        <v>355</v>
      </c>
      <c r="T223" s="14">
        <v>44</v>
      </c>
      <c r="U223" s="14" t="str">
        <f t="shared" si="13"/>
        <v>Y</v>
      </c>
    </row>
    <row r="224" spans="1:21" x14ac:dyDescent="0.25">
      <c r="A224" t="s">
        <v>184</v>
      </c>
      <c r="B224" s="16" t="s">
        <v>697</v>
      </c>
      <c r="C224" s="16" t="str">
        <f t="shared" si="14"/>
        <v>06-50M-WA</v>
      </c>
      <c r="D224" s="16" t="b">
        <f t="shared" si="15"/>
        <v>1</v>
      </c>
      <c r="E224" s="16">
        <v>136</v>
      </c>
      <c r="F224" s="17">
        <v>-76.308134999999993</v>
      </c>
      <c r="G224" s="17">
        <v>42.809330000000003</v>
      </c>
      <c r="H224">
        <v>50</v>
      </c>
      <c r="I224" t="s">
        <v>363</v>
      </c>
      <c r="J224" t="s">
        <v>359</v>
      </c>
      <c r="K224"/>
      <c r="L224"/>
      <c r="M224"/>
      <c r="N224" s="13"/>
      <c r="O224" s="13"/>
      <c r="P224">
        <v>123</v>
      </c>
      <c r="Q224">
        <v>2</v>
      </c>
      <c r="R224" t="s">
        <v>352</v>
      </c>
      <c r="S224" t="s">
        <v>355</v>
      </c>
      <c r="T224">
        <v>50</v>
      </c>
      <c r="U224" s="14" t="str">
        <f t="shared" si="13"/>
        <v>Y</v>
      </c>
    </row>
    <row r="225" spans="1:21" customFormat="1" x14ac:dyDescent="0.25">
      <c r="A225" t="s">
        <v>185</v>
      </c>
      <c r="B225" s="16" t="s">
        <v>698</v>
      </c>
      <c r="C225" s="16" t="str">
        <f t="shared" si="14"/>
        <v>06-52M-EA</v>
      </c>
      <c r="D225" s="16" t="b">
        <f t="shared" si="15"/>
        <v>1</v>
      </c>
      <c r="E225" s="16">
        <v>141</v>
      </c>
      <c r="F225" s="17">
        <v>-76.294263000000001</v>
      </c>
      <c r="G225" s="17">
        <v>42.809455999999997</v>
      </c>
      <c r="H225">
        <v>52</v>
      </c>
      <c r="I225" t="s">
        <v>363</v>
      </c>
      <c r="J225" t="s">
        <v>359</v>
      </c>
      <c r="N225" s="13"/>
      <c r="O225" s="13"/>
      <c r="P225">
        <v>134</v>
      </c>
      <c r="Q225">
        <v>2</v>
      </c>
      <c r="R225" t="s">
        <v>352</v>
      </c>
      <c r="S225" t="s">
        <v>355</v>
      </c>
      <c r="T225">
        <v>86</v>
      </c>
      <c r="U225" s="14" t="str">
        <f t="shared" si="13"/>
        <v>Y</v>
      </c>
    </row>
    <row r="226" spans="1:21" customFormat="1" x14ac:dyDescent="0.25">
      <c r="A226" t="s">
        <v>186</v>
      </c>
      <c r="B226" s="16"/>
      <c r="C226" s="16"/>
      <c r="D226" s="16" t="str">
        <f t="shared" si="15"/>
        <v/>
      </c>
      <c r="E226" s="16"/>
      <c r="F226" s="17">
        <v>-76.295317999999995</v>
      </c>
      <c r="G226" s="17">
        <v>42.809694</v>
      </c>
      <c r="H226">
        <v>65</v>
      </c>
      <c r="I226" t="s">
        <v>363</v>
      </c>
      <c r="J226" t="s">
        <v>359</v>
      </c>
      <c r="N226" s="13"/>
      <c r="O226" s="13"/>
      <c r="T226">
        <v>1</v>
      </c>
      <c r="U226" s="14" t="str">
        <f t="shared" si="13"/>
        <v/>
      </c>
    </row>
    <row r="227" spans="1:21" customFormat="1" x14ac:dyDescent="0.25">
      <c r="A227" t="s">
        <v>187</v>
      </c>
      <c r="B227" s="16"/>
      <c r="C227" s="16"/>
      <c r="D227" s="16" t="str">
        <f t="shared" si="15"/>
        <v/>
      </c>
      <c r="E227" s="16"/>
      <c r="F227" s="17">
        <v>-76.307603</v>
      </c>
      <c r="G227" s="17">
        <v>42.809336999999999</v>
      </c>
      <c r="H227">
        <v>65</v>
      </c>
      <c r="I227" t="s">
        <v>363</v>
      </c>
      <c r="J227" t="s">
        <v>359</v>
      </c>
      <c r="N227" s="13"/>
      <c r="O227" s="13"/>
      <c r="T227">
        <v>98</v>
      </c>
      <c r="U227" s="14" t="str">
        <f t="shared" si="13"/>
        <v/>
      </c>
    </row>
    <row r="228" spans="1:21" customFormat="1" x14ac:dyDescent="0.25">
      <c r="A228" t="s">
        <v>188</v>
      </c>
      <c r="B228" s="16"/>
      <c r="C228" s="16"/>
      <c r="D228" s="16" t="str">
        <f t="shared" si="15"/>
        <v/>
      </c>
      <c r="E228" s="16"/>
      <c r="F228" s="17">
        <v>-76.307603</v>
      </c>
      <c r="G228" s="17">
        <v>42.809336999999999</v>
      </c>
      <c r="H228">
        <v>65</v>
      </c>
      <c r="I228" t="s">
        <v>363</v>
      </c>
      <c r="J228" t="s">
        <v>360</v>
      </c>
      <c r="N228" s="13"/>
      <c r="O228" s="13"/>
      <c r="T228">
        <v>60</v>
      </c>
      <c r="U228" s="14" t="str">
        <f t="shared" si="13"/>
        <v/>
      </c>
    </row>
    <row r="229" spans="1:21" customFormat="1" x14ac:dyDescent="0.25">
      <c r="A229" t="s">
        <v>189</v>
      </c>
      <c r="B229" s="16"/>
      <c r="C229" s="16"/>
      <c r="D229" s="16" t="str">
        <f t="shared" si="15"/>
        <v/>
      </c>
      <c r="E229" s="16"/>
      <c r="F229" s="17">
        <v>-76.307288</v>
      </c>
      <c r="G229" s="17">
        <v>42.80941</v>
      </c>
      <c r="H229">
        <v>72</v>
      </c>
      <c r="I229" t="s">
        <v>363</v>
      </c>
      <c r="J229" t="s">
        <v>359</v>
      </c>
      <c r="N229" s="13"/>
      <c r="O229" s="13"/>
      <c r="T229">
        <v>41</v>
      </c>
      <c r="U229" s="14" t="str">
        <f t="shared" si="13"/>
        <v/>
      </c>
    </row>
    <row r="230" spans="1:21" customFormat="1" x14ac:dyDescent="0.25">
      <c r="A230" t="s">
        <v>190</v>
      </c>
      <c r="B230" s="16"/>
      <c r="C230" s="16"/>
      <c r="D230" s="16" t="str">
        <f t="shared" si="15"/>
        <v/>
      </c>
      <c r="E230" s="16"/>
      <c r="F230" s="17">
        <v>-76.307288</v>
      </c>
      <c r="G230" s="17">
        <v>42.809555000000003</v>
      </c>
      <c r="H230">
        <v>74</v>
      </c>
      <c r="I230" t="s">
        <v>363</v>
      </c>
      <c r="J230" t="s">
        <v>359</v>
      </c>
      <c r="N230" s="13"/>
      <c r="O230" s="13"/>
      <c r="T230">
        <v>58</v>
      </c>
      <c r="U230" s="14" t="str">
        <f t="shared" si="13"/>
        <v/>
      </c>
    </row>
    <row r="231" spans="1:21" customFormat="1" x14ac:dyDescent="0.25">
      <c r="A231" t="s">
        <v>191</v>
      </c>
      <c r="B231" s="16"/>
      <c r="C231" s="16"/>
      <c r="D231" s="16" t="str">
        <f t="shared" si="15"/>
        <v/>
      </c>
      <c r="E231" s="16"/>
      <c r="F231" s="17">
        <v>-76.296030000000002</v>
      </c>
      <c r="G231" s="17">
        <v>42.809654000000002</v>
      </c>
      <c r="H231">
        <v>75</v>
      </c>
      <c r="I231" t="s">
        <v>363</v>
      </c>
      <c r="J231" t="s">
        <v>359</v>
      </c>
      <c r="N231" s="13"/>
      <c r="O231" s="13"/>
      <c r="T231">
        <v>117</v>
      </c>
      <c r="U231" s="14" t="str">
        <f t="shared" si="13"/>
        <v/>
      </c>
    </row>
    <row r="232" spans="1:21" customFormat="1" x14ac:dyDescent="0.25">
      <c r="A232" t="s">
        <v>192</v>
      </c>
      <c r="B232" s="16"/>
      <c r="C232" s="16"/>
      <c r="D232" s="16" t="str">
        <f t="shared" si="15"/>
        <v/>
      </c>
      <c r="E232" s="16"/>
      <c r="F232" s="17">
        <v>-76.297571000000005</v>
      </c>
      <c r="G232" s="17">
        <v>42.809483</v>
      </c>
      <c r="H232">
        <v>80</v>
      </c>
      <c r="I232" t="s">
        <v>363</v>
      </c>
      <c r="J232" t="s">
        <v>359</v>
      </c>
      <c r="N232" s="13"/>
      <c r="O232" s="13"/>
      <c r="T232">
        <v>9</v>
      </c>
      <c r="U232" s="14" t="str">
        <f t="shared" si="13"/>
        <v/>
      </c>
    </row>
    <row r="233" spans="1:21" customFormat="1" x14ac:dyDescent="0.25">
      <c r="A233" t="s">
        <v>244</v>
      </c>
      <c r="B233" s="16"/>
      <c r="C233" s="16"/>
      <c r="D233" s="16" t="str">
        <f t="shared" si="15"/>
        <v/>
      </c>
      <c r="E233" s="16"/>
      <c r="F233" s="17">
        <v>-76.305340999999999</v>
      </c>
      <c r="G233" s="17">
        <v>42.809323999999997</v>
      </c>
      <c r="H233">
        <v>80</v>
      </c>
      <c r="I233" t="s">
        <v>363</v>
      </c>
      <c r="J233" t="s">
        <v>359</v>
      </c>
      <c r="N233" s="13"/>
      <c r="O233" s="13"/>
      <c r="T233">
        <v>0</v>
      </c>
      <c r="U233" s="14" t="str">
        <f t="shared" si="13"/>
        <v/>
      </c>
    </row>
    <row r="234" spans="1:21" customFormat="1" x14ac:dyDescent="0.25">
      <c r="A234" t="s">
        <v>193</v>
      </c>
      <c r="B234" s="16"/>
      <c r="C234" s="16"/>
      <c r="D234" s="16" t="str">
        <f t="shared" si="15"/>
        <v/>
      </c>
      <c r="E234" s="16"/>
      <c r="F234" s="17">
        <v>-76.301123000000004</v>
      </c>
      <c r="G234" s="17">
        <v>42.809423000000002</v>
      </c>
      <c r="H234">
        <v>82</v>
      </c>
      <c r="I234" t="s">
        <v>363</v>
      </c>
      <c r="J234" t="s">
        <v>359</v>
      </c>
      <c r="N234" s="13"/>
      <c r="O234" s="13"/>
      <c r="T234">
        <v>2</v>
      </c>
      <c r="U234" s="14" t="str">
        <f t="shared" si="13"/>
        <v/>
      </c>
    </row>
    <row r="235" spans="1:21" customFormat="1" x14ac:dyDescent="0.25">
      <c r="A235" t="s">
        <v>194</v>
      </c>
      <c r="B235" s="16" t="s">
        <v>699</v>
      </c>
      <c r="C235" s="16" t="str">
        <f t="shared" si="14"/>
        <v>07-02M-EA</v>
      </c>
      <c r="D235" s="16" t="b">
        <f t="shared" si="15"/>
        <v>1</v>
      </c>
      <c r="E235" s="16">
        <v>138</v>
      </c>
      <c r="F235" s="17">
        <v>-76.270216000000005</v>
      </c>
      <c r="G235" s="17">
        <v>42.772196999999998</v>
      </c>
      <c r="H235">
        <v>2</v>
      </c>
      <c r="I235" t="s">
        <v>372</v>
      </c>
      <c r="J235" t="s">
        <v>359</v>
      </c>
      <c r="N235" s="13"/>
      <c r="O235" s="13"/>
      <c r="P235">
        <v>140</v>
      </c>
      <c r="Q235">
        <v>2</v>
      </c>
      <c r="R235" t="s">
        <v>357</v>
      </c>
      <c r="S235" t="s">
        <v>355</v>
      </c>
      <c r="T235">
        <v>266</v>
      </c>
      <c r="U235" s="14" t="str">
        <f t="shared" si="13"/>
        <v>Y</v>
      </c>
    </row>
    <row r="236" spans="1:21" customFormat="1" x14ac:dyDescent="0.25">
      <c r="A236" t="s">
        <v>297</v>
      </c>
      <c r="B236" s="16" t="s">
        <v>700</v>
      </c>
      <c r="C236" s="16" t="str">
        <f t="shared" si="14"/>
        <v>07-02M-EB</v>
      </c>
      <c r="D236" s="16" t="b">
        <f t="shared" si="15"/>
        <v>1</v>
      </c>
      <c r="E236" s="16">
        <v>306</v>
      </c>
      <c r="F236" s="17">
        <v>-76.270216000000005</v>
      </c>
      <c r="G236" s="17">
        <v>42.772196999999998</v>
      </c>
      <c r="H236">
        <v>2</v>
      </c>
      <c r="I236" t="s">
        <v>372</v>
      </c>
      <c r="J236" t="s">
        <v>360</v>
      </c>
      <c r="N236" s="13"/>
      <c r="O236" s="13"/>
      <c r="P236">
        <v>301</v>
      </c>
      <c r="Q236">
        <v>2</v>
      </c>
      <c r="R236" t="s">
        <v>357</v>
      </c>
      <c r="S236" t="s">
        <v>355</v>
      </c>
      <c r="U236" s="14" t="str">
        <f t="shared" si="13"/>
        <v>Y</v>
      </c>
    </row>
    <row r="237" spans="1:21" customFormat="1" x14ac:dyDescent="0.25">
      <c r="A237" t="s">
        <v>298</v>
      </c>
      <c r="B237" s="16" t="s">
        <v>701</v>
      </c>
      <c r="C237" s="16" t="str">
        <f t="shared" si="14"/>
        <v>07-02M-EC</v>
      </c>
      <c r="D237" s="16" t="b">
        <f t="shared" si="15"/>
        <v>1</v>
      </c>
      <c r="E237" s="16">
        <v>411</v>
      </c>
      <c r="F237" s="17">
        <v>-76.270216000000005</v>
      </c>
      <c r="G237" s="17">
        <v>42.772196999999998</v>
      </c>
      <c r="H237">
        <v>2</v>
      </c>
      <c r="I237" t="s">
        <v>372</v>
      </c>
      <c r="J237" t="s">
        <v>366</v>
      </c>
      <c r="N237" s="13"/>
      <c r="O237" s="13"/>
      <c r="P237">
        <v>399</v>
      </c>
      <c r="Q237">
        <v>2</v>
      </c>
      <c r="R237" t="s">
        <v>357</v>
      </c>
      <c r="S237" t="s">
        <v>380</v>
      </c>
      <c r="U237" s="14" t="str">
        <f t="shared" si="13"/>
        <v>Y</v>
      </c>
    </row>
    <row r="238" spans="1:21" customFormat="1" x14ac:dyDescent="0.25">
      <c r="A238" t="s">
        <v>195</v>
      </c>
      <c r="B238" s="16" t="s">
        <v>702</v>
      </c>
      <c r="C238" s="16" t="str">
        <f t="shared" si="14"/>
        <v>07-02M-WA</v>
      </c>
      <c r="D238" s="16" t="b">
        <f t="shared" si="15"/>
        <v>1</v>
      </c>
      <c r="E238" s="16">
        <v>147</v>
      </c>
      <c r="F238" s="17">
        <v>-76.280788000000001</v>
      </c>
      <c r="G238" s="17">
        <v>42.779296000000002</v>
      </c>
      <c r="H238">
        <v>2</v>
      </c>
      <c r="I238" t="s">
        <v>372</v>
      </c>
      <c r="J238" t="s">
        <v>359</v>
      </c>
      <c r="N238" s="13"/>
      <c r="O238" s="13"/>
      <c r="P238">
        <v>129</v>
      </c>
      <c r="Q238">
        <v>1</v>
      </c>
      <c r="R238" t="s">
        <v>357</v>
      </c>
      <c r="S238" t="s">
        <v>354</v>
      </c>
      <c r="T238">
        <v>74</v>
      </c>
      <c r="U238" s="14" t="str">
        <f t="shared" si="13"/>
        <v>Y</v>
      </c>
    </row>
    <row r="239" spans="1:21" customFormat="1" x14ac:dyDescent="0.25">
      <c r="A239" t="s">
        <v>299</v>
      </c>
      <c r="B239" s="16" t="s">
        <v>703</v>
      </c>
      <c r="C239" s="16" t="str">
        <f t="shared" si="14"/>
        <v>07-02M-WB</v>
      </c>
      <c r="D239" s="16" t="b">
        <f t="shared" si="15"/>
        <v>1</v>
      </c>
      <c r="E239" s="16">
        <v>161</v>
      </c>
      <c r="F239" s="17">
        <v>-76.280788000000001</v>
      </c>
      <c r="G239" s="17">
        <v>42.779296000000002</v>
      </c>
      <c r="H239">
        <v>2</v>
      </c>
      <c r="I239" t="s">
        <v>372</v>
      </c>
      <c r="J239" t="s">
        <v>360</v>
      </c>
      <c r="N239" s="13"/>
      <c r="O239" s="13"/>
      <c r="P239">
        <v>145</v>
      </c>
      <c r="Q239">
        <v>2</v>
      </c>
      <c r="R239" t="s">
        <v>352</v>
      </c>
      <c r="S239" t="s">
        <v>353</v>
      </c>
      <c r="U239" s="14" t="str">
        <f t="shared" si="13"/>
        <v>Y</v>
      </c>
    </row>
    <row r="240" spans="1:21" customFormat="1" x14ac:dyDescent="0.25">
      <c r="A240" t="s">
        <v>196</v>
      </c>
      <c r="B240" s="16" t="s">
        <v>704</v>
      </c>
      <c r="C240" s="16" t="str">
        <f t="shared" si="14"/>
        <v>07-03M-EA</v>
      </c>
      <c r="D240" s="16" t="b">
        <f t="shared" si="15"/>
        <v>1</v>
      </c>
      <c r="E240" s="16">
        <v>208</v>
      </c>
      <c r="F240" s="17">
        <v>-76.269115999999997</v>
      </c>
      <c r="G240" s="17">
        <v>42.779567999999998</v>
      </c>
      <c r="H240">
        <v>3</v>
      </c>
      <c r="I240" t="s">
        <v>372</v>
      </c>
      <c r="J240" t="s">
        <v>359</v>
      </c>
      <c r="N240" s="13"/>
      <c r="O240" s="13"/>
      <c r="P240">
        <v>216</v>
      </c>
      <c r="Q240">
        <v>1</v>
      </c>
      <c r="R240" t="s">
        <v>357</v>
      </c>
      <c r="S240" t="s">
        <v>380</v>
      </c>
      <c r="T240">
        <v>1</v>
      </c>
      <c r="U240" s="14" t="str">
        <f t="shared" si="13"/>
        <v>Y</v>
      </c>
    </row>
    <row r="241" spans="1:21" customFormat="1" x14ac:dyDescent="0.25">
      <c r="A241" t="s">
        <v>197</v>
      </c>
      <c r="B241" s="16" t="s">
        <v>705</v>
      </c>
      <c r="C241" s="16" t="str">
        <f t="shared" si="14"/>
        <v>07-03M-WA</v>
      </c>
      <c r="D241" s="16" t="b">
        <f t="shared" si="15"/>
        <v>1</v>
      </c>
      <c r="E241" s="16">
        <v>108</v>
      </c>
      <c r="F241" s="17">
        <v>-76.280670999999998</v>
      </c>
      <c r="G241" s="17">
        <v>42.779349000000003</v>
      </c>
      <c r="H241">
        <v>3</v>
      </c>
      <c r="I241" t="s">
        <v>372</v>
      </c>
      <c r="J241" t="s">
        <v>359</v>
      </c>
      <c r="N241" s="13"/>
      <c r="O241" s="13"/>
      <c r="P241">
        <v>125</v>
      </c>
      <c r="Q241">
        <v>1</v>
      </c>
      <c r="R241" t="s">
        <v>352</v>
      </c>
      <c r="S241" t="s">
        <v>355</v>
      </c>
      <c r="T241">
        <v>444</v>
      </c>
      <c r="U241" s="14" t="str">
        <f t="shared" si="13"/>
        <v>Y</v>
      </c>
    </row>
    <row r="242" spans="1:21" customFormat="1" x14ac:dyDescent="0.25">
      <c r="A242" t="s">
        <v>198</v>
      </c>
      <c r="B242" s="16" t="s">
        <v>706</v>
      </c>
      <c r="C242" s="16" t="str">
        <f t="shared" si="14"/>
        <v>07-03M-WB</v>
      </c>
      <c r="D242" s="16" t="b">
        <f t="shared" si="15"/>
        <v>1</v>
      </c>
      <c r="E242" s="16">
        <v>131</v>
      </c>
      <c r="F242" s="17">
        <v>-76.280670999999998</v>
      </c>
      <c r="G242" s="17">
        <v>42.779349000000003</v>
      </c>
      <c r="H242">
        <v>3</v>
      </c>
      <c r="I242" t="s">
        <v>372</v>
      </c>
      <c r="J242" t="s">
        <v>360</v>
      </c>
      <c r="N242" s="13"/>
      <c r="O242" s="13"/>
      <c r="P242">
        <v>112</v>
      </c>
      <c r="Q242">
        <v>1</v>
      </c>
      <c r="R242" t="s">
        <v>352</v>
      </c>
      <c r="S242" t="s">
        <v>355</v>
      </c>
      <c r="T242">
        <v>157</v>
      </c>
      <c r="U242" s="14" t="str">
        <f t="shared" si="13"/>
        <v>Y</v>
      </c>
    </row>
    <row r="243" spans="1:21" customFormat="1" x14ac:dyDescent="0.25">
      <c r="A243" t="s">
        <v>199</v>
      </c>
      <c r="B243" s="16" t="s">
        <v>707</v>
      </c>
      <c r="C243" s="16" t="str">
        <f t="shared" si="14"/>
        <v>07-05M-EA</v>
      </c>
      <c r="D243" s="16" t="b">
        <f t="shared" si="15"/>
        <v>1</v>
      </c>
      <c r="E243" s="16">
        <v>229</v>
      </c>
      <c r="F243" s="17">
        <v>-76.269205999999997</v>
      </c>
      <c r="G243" s="17">
        <v>42.779508</v>
      </c>
      <c r="H243">
        <v>5</v>
      </c>
      <c r="I243" t="s">
        <v>372</v>
      </c>
      <c r="J243" t="s">
        <v>359</v>
      </c>
      <c r="N243" s="13"/>
      <c r="O243" s="13"/>
      <c r="P243">
        <v>207</v>
      </c>
      <c r="Q243">
        <v>1</v>
      </c>
      <c r="R243" t="s">
        <v>352</v>
      </c>
      <c r="S243" t="s">
        <v>380</v>
      </c>
      <c r="T243">
        <v>152</v>
      </c>
      <c r="U243" s="14" t="str">
        <f t="shared" si="13"/>
        <v>Y</v>
      </c>
    </row>
    <row r="244" spans="1:21" customFormat="1" x14ac:dyDescent="0.25">
      <c r="A244" t="s">
        <v>336</v>
      </c>
      <c r="B244" s="16"/>
      <c r="C244" s="16"/>
      <c r="D244" s="16" t="str">
        <f t="shared" si="15"/>
        <v/>
      </c>
      <c r="E244" s="16"/>
      <c r="F244" s="17">
        <v>-76.269205999999997</v>
      </c>
      <c r="G244" s="17">
        <v>42.779508</v>
      </c>
      <c r="H244">
        <v>5</v>
      </c>
      <c r="I244" t="s">
        <v>372</v>
      </c>
      <c r="J244" t="s">
        <v>360</v>
      </c>
      <c r="N244" s="13"/>
      <c r="O244" s="13"/>
      <c r="P244">
        <v>0</v>
      </c>
      <c r="Q244">
        <v>0</v>
      </c>
      <c r="R244" t="s">
        <v>352</v>
      </c>
      <c r="S244" t="s">
        <v>381</v>
      </c>
      <c r="U244" s="14" t="str">
        <f t="shared" si="13"/>
        <v>Y</v>
      </c>
    </row>
    <row r="245" spans="1:21" customFormat="1" x14ac:dyDescent="0.25">
      <c r="A245" t="s">
        <v>200</v>
      </c>
      <c r="B245" s="16" t="s">
        <v>708</v>
      </c>
      <c r="C245" s="16" t="str">
        <f t="shared" si="14"/>
        <v>07-05M-WA</v>
      </c>
      <c r="D245" s="16" t="b">
        <f t="shared" si="15"/>
        <v>1</v>
      </c>
      <c r="E245" s="16">
        <v>322</v>
      </c>
      <c r="F245" s="17">
        <v>-76.280518000000001</v>
      </c>
      <c r="G245" s="17">
        <v>42.779176999999997</v>
      </c>
      <c r="H245">
        <v>5</v>
      </c>
      <c r="I245" t="s">
        <v>372</v>
      </c>
      <c r="J245" t="s">
        <v>359</v>
      </c>
      <c r="N245" s="13"/>
      <c r="O245" s="13"/>
      <c r="P245">
        <v>351</v>
      </c>
      <c r="Q245">
        <v>2</v>
      </c>
      <c r="R245" t="s">
        <v>352</v>
      </c>
      <c r="S245" t="s">
        <v>355</v>
      </c>
      <c r="T245">
        <v>131</v>
      </c>
      <c r="U245" s="14" t="str">
        <f t="shared" si="13"/>
        <v>Y</v>
      </c>
    </row>
    <row r="246" spans="1:21" customFormat="1" x14ac:dyDescent="0.25">
      <c r="A246" t="s">
        <v>201</v>
      </c>
      <c r="B246" s="16" t="s">
        <v>709</v>
      </c>
      <c r="C246" s="16" t="str">
        <f t="shared" si="14"/>
        <v>07-08M-EA</v>
      </c>
      <c r="D246" s="16" t="b">
        <f t="shared" si="15"/>
        <v>1</v>
      </c>
      <c r="E246" s="16">
        <v>124</v>
      </c>
      <c r="F246" s="17">
        <v>-76.269458999999998</v>
      </c>
      <c r="G246" s="17">
        <v>42.779494999999997</v>
      </c>
      <c r="H246">
        <v>8</v>
      </c>
      <c r="I246" t="s">
        <v>372</v>
      </c>
      <c r="J246" t="s">
        <v>359</v>
      </c>
      <c r="N246" s="13"/>
      <c r="O246" s="13"/>
      <c r="P246">
        <v>97</v>
      </c>
      <c r="Q246">
        <v>2</v>
      </c>
      <c r="R246" t="s">
        <v>352</v>
      </c>
      <c r="S246" t="s">
        <v>353</v>
      </c>
      <c r="T246">
        <v>82</v>
      </c>
      <c r="U246" s="14" t="str">
        <f t="shared" si="13"/>
        <v>Y</v>
      </c>
    </row>
    <row r="247" spans="1:21" customFormat="1" x14ac:dyDescent="0.25">
      <c r="A247" t="s">
        <v>202</v>
      </c>
      <c r="B247" s="16" t="s">
        <v>710</v>
      </c>
      <c r="C247" s="16" t="str">
        <f t="shared" si="14"/>
        <v>07-08M-WA</v>
      </c>
      <c r="D247" s="16" t="b">
        <f t="shared" si="15"/>
        <v>1</v>
      </c>
      <c r="E247" s="16">
        <v>321</v>
      </c>
      <c r="F247" s="17">
        <v>-76.280383</v>
      </c>
      <c r="G247" s="17">
        <v>42.779131</v>
      </c>
      <c r="H247">
        <v>8</v>
      </c>
      <c r="I247" t="s">
        <v>372</v>
      </c>
      <c r="J247" t="s">
        <v>359</v>
      </c>
      <c r="N247" s="13"/>
      <c r="O247" s="13"/>
      <c r="P247">
        <v>314</v>
      </c>
      <c r="Q247">
        <v>1</v>
      </c>
      <c r="R247" t="s">
        <v>352</v>
      </c>
      <c r="S247" t="s">
        <v>355</v>
      </c>
      <c r="T247">
        <v>175</v>
      </c>
      <c r="U247" s="14" t="str">
        <f t="shared" si="13"/>
        <v>Y</v>
      </c>
    </row>
    <row r="248" spans="1:21" customFormat="1" x14ac:dyDescent="0.25">
      <c r="A248" t="s">
        <v>203</v>
      </c>
      <c r="B248" s="16" t="s">
        <v>711</v>
      </c>
      <c r="C248" s="16" t="str">
        <f t="shared" si="14"/>
        <v>07-11M-EA</v>
      </c>
      <c r="D248" s="16" t="b">
        <f t="shared" si="15"/>
        <v>1</v>
      </c>
      <c r="E248" s="16">
        <v>176</v>
      </c>
      <c r="F248" s="17">
        <v>-76.269638999999998</v>
      </c>
      <c r="G248" s="17">
        <v>42.779521000000003</v>
      </c>
      <c r="H248">
        <v>11</v>
      </c>
      <c r="I248" t="s">
        <v>372</v>
      </c>
      <c r="J248" t="s">
        <v>359</v>
      </c>
      <c r="N248" s="13"/>
      <c r="O248" s="13"/>
      <c r="P248">
        <v>164</v>
      </c>
      <c r="Q248">
        <v>1</v>
      </c>
      <c r="R248" t="s">
        <v>352</v>
      </c>
      <c r="S248" t="s">
        <v>355</v>
      </c>
      <c r="T248">
        <v>149</v>
      </c>
      <c r="U248" s="14" t="str">
        <f t="shared" si="13"/>
        <v>Y</v>
      </c>
    </row>
    <row r="249" spans="1:21" customFormat="1" x14ac:dyDescent="0.25">
      <c r="A249" t="s">
        <v>300</v>
      </c>
      <c r="B249" s="16" t="s">
        <v>712</v>
      </c>
      <c r="C249" s="16" t="str">
        <f t="shared" si="14"/>
        <v>07-11M-WA</v>
      </c>
      <c r="D249" s="16" t="b">
        <f t="shared" si="15"/>
        <v>1</v>
      </c>
      <c r="E249" s="16">
        <v>391</v>
      </c>
      <c r="F249" s="17">
        <v>-76.280257000000006</v>
      </c>
      <c r="G249" s="17">
        <v>42.779316000000001</v>
      </c>
      <c r="H249">
        <v>11</v>
      </c>
      <c r="I249" t="s">
        <v>372</v>
      </c>
      <c r="J249" t="s">
        <v>359</v>
      </c>
      <c r="N249" s="13"/>
      <c r="O249" s="13"/>
      <c r="P249">
        <v>404</v>
      </c>
      <c r="Q249">
        <v>2</v>
      </c>
      <c r="R249" t="s">
        <v>352</v>
      </c>
      <c r="S249" t="s">
        <v>355</v>
      </c>
      <c r="U249" s="14" t="str">
        <f t="shared" si="13"/>
        <v>Y</v>
      </c>
    </row>
    <row r="250" spans="1:21" customFormat="1" x14ac:dyDescent="0.25">
      <c r="A250" t="s">
        <v>204</v>
      </c>
      <c r="B250" s="16" t="s">
        <v>713</v>
      </c>
      <c r="C250" s="16" t="str">
        <f t="shared" si="14"/>
        <v>07-14M-EA</v>
      </c>
      <c r="D250" s="16" t="b">
        <f t="shared" si="15"/>
        <v>1</v>
      </c>
      <c r="E250" s="16">
        <v>196</v>
      </c>
      <c r="F250" s="17">
        <v>-76.269675000000007</v>
      </c>
      <c r="G250" s="17">
        <v>42.779501000000003</v>
      </c>
      <c r="H250">
        <v>14</v>
      </c>
      <c r="I250" t="s">
        <v>372</v>
      </c>
      <c r="J250" t="s">
        <v>359</v>
      </c>
      <c r="N250" s="13"/>
      <c r="O250" s="13"/>
      <c r="P250">
        <v>183</v>
      </c>
      <c r="Q250">
        <v>1</v>
      </c>
      <c r="R250" t="s">
        <v>352</v>
      </c>
      <c r="S250" t="s">
        <v>355</v>
      </c>
      <c r="T250">
        <v>81</v>
      </c>
      <c r="U250" s="14" t="str">
        <f t="shared" si="13"/>
        <v>Y</v>
      </c>
    </row>
    <row r="251" spans="1:21" customFormat="1" x14ac:dyDescent="0.25">
      <c r="A251" t="s">
        <v>205</v>
      </c>
      <c r="B251" s="16" t="s">
        <v>714</v>
      </c>
      <c r="C251" s="16" t="str">
        <f t="shared" si="14"/>
        <v>07-14M-WA</v>
      </c>
      <c r="D251" s="16" t="b">
        <f t="shared" si="15"/>
        <v>1</v>
      </c>
      <c r="E251" s="16">
        <v>322</v>
      </c>
      <c r="F251" s="17">
        <v>-76.28013</v>
      </c>
      <c r="G251" s="17">
        <v>42.779243000000001</v>
      </c>
      <c r="H251">
        <v>14</v>
      </c>
      <c r="I251" t="s">
        <v>372</v>
      </c>
      <c r="J251" t="s">
        <v>359</v>
      </c>
      <c r="N251" s="13"/>
      <c r="O251" s="13"/>
      <c r="P251">
        <v>304</v>
      </c>
      <c r="Q251">
        <v>2</v>
      </c>
      <c r="R251" t="s">
        <v>352</v>
      </c>
      <c r="S251" t="s">
        <v>355</v>
      </c>
      <c r="T251">
        <v>54</v>
      </c>
      <c r="U251" s="14" t="str">
        <f t="shared" si="13"/>
        <v>Y</v>
      </c>
    </row>
    <row r="252" spans="1:21" customFormat="1" x14ac:dyDescent="0.25">
      <c r="A252" t="s">
        <v>206</v>
      </c>
      <c r="B252" s="16" t="s">
        <v>715</v>
      </c>
      <c r="C252" s="16" t="str">
        <f t="shared" si="14"/>
        <v>07-17M-EA</v>
      </c>
      <c r="D252" s="16" t="b">
        <f t="shared" si="15"/>
        <v>1</v>
      </c>
      <c r="E252" s="16">
        <v>528</v>
      </c>
      <c r="F252" s="17">
        <v>-76.269773999999998</v>
      </c>
      <c r="G252" s="17">
        <v>42.779553999999997</v>
      </c>
      <c r="H252">
        <v>17</v>
      </c>
      <c r="I252" t="s">
        <v>372</v>
      </c>
      <c r="J252" t="s">
        <v>359</v>
      </c>
      <c r="N252" s="13"/>
      <c r="O252" s="13"/>
      <c r="P252">
        <v>560</v>
      </c>
      <c r="Q252">
        <v>0</v>
      </c>
      <c r="R252" t="s">
        <v>352</v>
      </c>
      <c r="S252" t="s">
        <v>355</v>
      </c>
      <c r="T252">
        <v>50</v>
      </c>
      <c r="U252" s="14" t="str">
        <f t="shared" si="13"/>
        <v>Y</v>
      </c>
    </row>
    <row r="253" spans="1:21" customFormat="1" x14ac:dyDescent="0.25">
      <c r="A253" t="s">
        <v>207</v>
      </c>
      <c r="B253" s="16" t="s">
        <v>716</v>
      </c>
      <c r="C253" s="16" t="str">
        <f t="shared" si="14"/>
        <v>07-17M-WA</v>
      </c>
      <c r="D253" s="16" t="b">
        <f t="shared" si="15"/>
        <v>1</v>
      </c>
      <c r="E253" s="16">
        <v>87</v>
      </c>
      <c r="F253" s="17">
        <v>-76.28004</v>
      </c>
      <c r="G253" s="17">
        <v>42.779176999999997</v>
      </c>
      <c r="H253">
        <v>17</v>
      </c>
      <c r="I253" t="s">
        <v>372</v>
      </c>
      <c r="J253" t="s">
        <v>359</v>
      </c>
      <c r="N253" s="13"/>
      <c r="O253" s="13"/>
      <c r="P253">
        <v>85</v>
      </c>
      <c r="Q253">
        <v>1</v>
      </c>
      <c r="R253" t="s">
        <v>352</v>
      </c>
      <c r="S253" t="s">
        <v>355</v>
      </c>
      <c r="T253">
        <v>211</v>
      </c>
      <c r="U253" s="14" t="str">
        <f t="shared" si="13"/>
        <v>Y</v>
      </c>
    </row>
    <row r="254" spans="1:21" customFormat="1" x14ac:dyDescent="0.25">
      <c r="A254" t="s">
        <v>208</v>
      </c>
      <c r="B254" s="16" t="s">
        <v>717</v>
      </c>
      <c r="C254" s="16" t="str">
        <f t="shared" si="14"/>
        <v>07-24M-EA</v>
      </c>
      <c r="D254" s="16" t="b">
        <f t="shared" si="15"/>
        <v>1</v>
      </c>
      <c r="E254" s="16">
        <v>405</v>
      </c>
      <c r="F254" s="17">
        <v>-76.269953999999998</v>
      </c>
      <c r="G254" s="17">
        <v>42.779494999999997</v>
      </c>
      <c r="H254">
        <v>24</v>
      </c>
      <c r="I254" t="s">
        <v>372</v>
      </c>
      <c r="J254" t="s">
        <v>359</v>
      </c>
      <c r="N254" s="13"/>
      <c r="O254" s="13"/>
      <c r="P254">
        <v>373</v>
      </c>
      <c r="Q254">
        <v>2</v>
      </c>
      <c r="R254" t="s">
        <v>352</v>
      </c>
      <c r="S254" t="s">
        <v>355</v>
      </c>
      <c r="T254">
        <v>251</v>
      </c>
      <c r="U254" s="14" t="str">
        <f t="shared" si="13"/>
        <v>Y</v>
      </c>
    </row>
    <row r="255" spans="1:21" customFormat="1" x14ac:dyDescent="0.25">
      <c r="A255" t="s">
        <v>301</v>
      </c>
      <c r="B255" s="16" t="s">
        <v>718</v>
      </c>
      <c r="C255" s="16" t="str">
        <f t="shared" si="14"/>
        <v>07-24M-EB</v>
      </c>
      <c r="D255" s="16" t="b">
        <f t="shared" si="15"/>
        <v>1</v>
      </c>
      <c r="E255" s="16">
        <v>269</v>
      </c>
      <c r="F255" s="17">
        <v>-76.269953999999998</v>
      </c>
      <c r="G255" s="17">
        <v>42.779494999999997</v>
      </c>
      <c r="H255">
        <v>24</v>
      </c>
      <c r="I255" t="s">
        <v>372</v>
      </c>
      <c r="J255" t="s">
        <v>360</v>
      </c>
      <c r="N255" s="13"/>
      <c r="O255" s="13"/>
      <c r="P255">
        <v>258</v>
      </c>
      <c r="Q255">
        <v>2</v>
      </c>
      <c r="R255" t="s">
        <v>352</v>
      </c>
      <c r="S255" t="s">
        <v>355</v>
      </c>
      <c r="U255" s="14" t="str">
        <f t="shared" si="13"/>
        <v>Y</v>
      </c>
    </row>
    <row r="256" spans="1:21" customFormat="1" x14ac:dyDescent="0.25">
      <c r="A256" t="s">
        <v>209</v>
      </c>
      <c r="B256" s="16" t="s">
        <v>719</v>
      </c>
      <c r="C256" s="16" t="str">
        <f t="shared" si="14"/>
        <v>07-24M-WA</v>
      </c>
      <c r="D256" s="16" t="b">
        <f t="shared" si="15"/>
        <v>1</v>
      </c>
      <c r="E256" s="16">
        <v>411</v>
      </c>
      <c r="F256" s="17">
        <v>-76.279824000000005</v>
      </c>
      <c r="G256" s="17">
        <v>42.779263</v>
      </c>
      <c r="H256">
        <v>24</v>
      </c>
      <c r="I256" t="s">
        <v>372</v>
      </c>
      <c r="J256" t="s">
        <v>359</v>
      </c>
      <c r="N256" s="13"/>
      <c r="O256" s="13"/>
      <c r="P256">
        <v>379</v>
      </c>
      <c r="Q256">
        <v>2</v>
      </c>
      <c r="R256" t="s">
        <v>352</v>
      </c>
      <c r="S256" t="s">
        <v>355</v>
      </c>
      <c r="T256">
        <v>54</v>
      </c>
      <c r="U256" s="14" t="str">
        <f t="shared" si="13"/>
        <v>Y</v>
      </c>
    </row>
    <row r="257" spans="1:21" customFormat="1" x14ac:dyDescent="0.25">
      <c r="A257" t="s">
        <v>210</v>
      </c>
      <c r="B257" s="16" t="s">
        <v>720</v>
      </c>
      <c r="C257" s="16" t="str">
        <f t="shared" ref="C257:C264" si="16">UPPER(RIGHT(B257,9))</f>
        <v>07-31M-EA</v>
      </c>
      <c r="D257" s="16" t="b">
        <f t="shared" ref="D257:D317" si="17">IF(B257="","",C257=A257)</f>
        <v>1</v>
      </c>
      <c r="E257" s="16">
        <v>214</v>
      </c>
      <c r="F257" s="17">
        <v>-76.270467999999994</v>
      </c>
      <c r="G257" s="17">
        <v>42.779434999999999</v>
      </c>
      <c r="H257">
        <v>31</v>
      </c>
      <c r="I257" t="s">
        <v>372</v>
      </c>
      <c r="J257" t="s">
        <v>359</v>
      </c>
      <c r="N257" s="13"/>
      <c r="O257" s="13"/>
      <c r="P257">
        <v>208</v>
      </c>
      <c r="Q257">
        <v>2</v>
      </c>
      <c r="R257" t="s">
        <v>352</v>
      </c>
      <c r="S257" t="s">
        <v>355</v>
      </c>
      <c r="T257">
        <v>81</v>
      </c>
      <c r="U257" s="14" t="str">
        <f t="shared" si="13"/>
        <v>Y</v>
      </c>
    </row>
    <row r="258" spans="1:21" customFormat="1" x14ac:dyDescent="0.25">
      <c r="A258" t="s">
        <v>211</v>
      </c>
      <c r="B258" s="16" t="s">
        <v>721</v>
      </c>
      <c r="C258" s="16" t="str">
        <f t="shared" si="16"/>
        <v>07-31M-WA</v>
      </c>
      <c r="D258" s="16" t="b">
        <f t="shared" si="17"/>
        <v>1</v>
      </c>
      <c r="E258" s="16">
        <v>316</v>
      </c>
      <c r="F258" s="17">
        <v>-76.279634999999999</v>
      </c>
      <c r="G258" s="17">
        <v>42.779223999999999</v>
      </c>
      <c r="H258">
        <v>31</v>
      </c>
      <c r="I258" t="s">
        <v>372</v>
      </c>
      <c r="J258" t="s">
        <v>359</v>
      </c>
      <c r="N258" s="13"/>
      <c r="O258" s="13"/>
      <c r="P258">
        <v>337</v>
      </c>
      <c r="Q258">
        <v>2</v>
      </c>
      <c r="R258" t="s">
        <v>352</v>
      </c>
      <c r="S258" t="s">
        <v>355</v>
      </c>
      <c r="T258">
        <v>304</v>
      </c>
      <c r="U258" s="14" t="str">
        <f t="shared" si="13"/>
        <v>Y</v>
      </c>
    </row>
    <row r="259" spans="1:21" customFormat="1" x14ac:dyDescent="0.25">
      <c r="A259" t="s">
        <v>212</v>
      </c>
      <c r="B259" s="16" t="s">
        <v>722</v>
      </c>
      <c r="C259" s="16" t="str">
        <f t="shared" si="16"/>
        <v>07-38M-EA</v>
      </c>
      <c r="D259" s="16" t="b">
        <f t="shared" si="17"/>
        <v>1</v>
      </c>
      <c r="E259" s="16">
        <v>158</v>
      </c>
      <c r="F259" s="17">
        <v>-76.271783999999997</v>
      </c>
      <c r="G259" s="17">
        <v>42.779494999999997</v>
      </c>
      <c r="H259">
        <v>38</v>
      </c>
      <c r="I259" t="s">
        <v>372</v>
      </c>
      <c r="J259" t="s">
        <v>359</v>
      </c>
      <c r="N259" s="13"/>
      <c r="O259" s="13"/>
      <c r="P259">
        <v>162</v>
      </c>
      <c r="Q259">
        <v>2</v>
      </c>
      <c r="R259" t="s">
        <v>352</v>
      </c>
      <c r="S259" t="s">
        <v>355</v>
      </c>
      <c r="T259">
        <v>79</v>
      </c>
      <c r="U259" s="14" t="str">
        <f t="shared" ref="U259:U322" si="18">IF(OR(Q259&lt;&gt;"", M259&lt;&gt;""), "Y", "")</f>
        <v>Y</v>
      </c>
    </row>
    <row r="260" spans="1:21" customFormat="1" x14ac:dyDescent="0.25">
      <c r="A260" t="s">
        <v>213</v>
      </c>
      <c r="B260" s="16" t="s">
        <v>723</v>
      </c>
      <c r="C260" s="16" t="str">
        <f t="shared" si="16"/>
        <v>07-38M-WA</v>
      </c>
      <c r="D260" s="16" t="b">
        <f t="shared" si="17"/>
        <v>1</v>
      </c>
      <c r="E260" s="16">
        <v>233</v>
      </c>
      <c r="F260" s="17">
        <v>-76.279364000000001</v>
      </c>
      <c r="G260" s="17">
        <v>42.779197000000003</v>
      </c>
      <c r="H260">
        <v>38</v>
      </c>
      <c r="I260" t="s">
        <v>372</v>
      </c>
      <c r="J260" t="s">
        <v>359</v>
      </c>
      <c r="N260" s="13"/>
      <c r="O260" s="13"/>
      <c r="P260">
        <v>218</v>
      </c>
      <c r="Q260">
        <v>2</v>
      </c>
      <c r="R260" t="s">
        <v>352</v>
      </c>
      <c r="S260" t="s">
        <v>355</v>
      </c>
      <c r="T260">
        <v>82</v>
      </c>
      <c r="U260" s="14" t="str">
        <f t="shared" si="18"/>
        <v>Y</v>
      </c>
    </row>
    <row r="261" spans="1:21" customFormat="1" x14ac:dyDescent="0.25">
      <c r="A261" t="s">
        <v>214</v>
      </c>
      <c r="B261" s="16" t="s">
        <v>724</v>
      </c>
      <c r="C261" s="16" t="str">
        <f t="shared" si="16"/>
        <v>07-45M-EA</v>
      </c>
      <c r="D261" s="16" t="b">
        <f t="shared" si="17"/>
        <v>1</v>
      </c>
      <c r="E261" s="16">
        <v>151</v>
      </c>
      <c r="F261" s="17">
        <v>-76.273523999999995</v>
      </c>
      <c r="G261" s="17">
        <v>42.779429</v>
      </c>
      <c r="H261">
        <v>45</v>
      </c>
      <c r="I261" t="s">
        <v>372</v>
      </c>
      <c r="J261" t="s">
        <v>359</v>
      </c>
      <c r="N261" s="13"/>
      <c r="O261" s="13"/>
      <c r="P261">
        <v>146</v>
      </c>
      <c r="Q261">
        <v>1</v>
      </c>
      <c r="R261" t="s">
        <v>352</v>
      </c>
      <c r="S261" t="s">
        <v>355</v>
      </c>
      <c r="T261">
        <v>48</v>
      </c>
      <c r="U261" s="14" t="str">
        <f t="shared" si="18"/>
        <v>Y</v>
      </c>
    </row>
    <row r="262" spans="1:21" customFormat="1" x14ac:dyDescent="0.25">
      <c r="A262" t="s">
        <v>215</v>
      </c>
      <c r="B262" s="16" t="s">
        <v>725</v>
      </c>
      <c r="C262" s="16" t="str">
        <f t="shared" si="16"/>
        <v>07-45M-WA</v>
      </c>
      <c r="D262" s="16" t="b">
        <f t="shared" si="17"/>
        <v>1</v>
      </c>
      <c r="E262" s="16">
        <v>40</v>
      </c>
      <c r="F262" s="17">
        <v>-76.278535000000005</v>
      </c>
      <c r="G262" s="17">
        <v>42.779237000000002</v>
      </c>
      <c r="H262">
        <v>45</v>
      </c>
      <c r="I262" t="s">
        <v>372</v>
      </c>
      <c r="J262" t="s">
        <v>359</v>
      </c>
      <c r="N262" s="13"/>
      <c r="O262" s="13"/>
      <c r="P262">
        <v>40</v>
      </c>
      <c r="Q262">
        <v>2</v>
      </c>
      <c r="R262" t="s">
        <v>352</v>
      </c>
      <c r="S262" t="s">
        <v>355</v>
      </c>
      <c r="T262">
        <v>19</v>
      </c>
      <c r="U262" s="14" t="str">
        <f t="shared" si="18"/>
        <v>Y</v>
      </c>
    </row>
    <row r="263" spans="1:21" customFormat="1" x14ac:dyDescent="0.25">
      <c r="A263" t="s">
        <v>216</v>
      </c>
      <c r="B263" s="16" t="s">
        <v>726</v>
      </c>
      <c r="C263" s="16" t="str">
        <f t="shared" si="16"/>
        <v>07-52M-WA</v>
      </c>
      <c r="D263" s="16" t="b">
        <f t="shared" si="17"/>
        <v>1</v>
      </c>
      <c r="E263" s="16">
        <v>27</v>
      </c>
      <c r="F263" s="17">
        <v>-76.275875999999997</v>
      </c>
      <c r="G263" s="17">
        <v>42.779462000000002</v>
      </c>
      <c r="H263">
        <v>52</v>
      </c>
      <c r="I263" t="s">
        <v>372</v>
      </c>
      <c r="J263" t="s">
        <v>359</v>
      </c>
      <c r="N263" s="13"/>
      <c r="O263" s="13"/>
      <c r="P263">
        <v>27</v>
      </c>
      <c r="Q263">
        <v>1</v>
      </c>
      <c r="R263" t="s">
        <v>352</v>
      </c>
      <c r="S263" t="s">
        <v>355</v>
      </c>
      <c r="T263">
        <v>20</v>
      </c>
      <c r="U263" s="14" t="str">
        <f t="shared" si="18"/>
        <v>Y</v>
      </c>
    </row>
    <row r="264" spans="1:21" customFormat="1" x14ac:dyDescent="0.25">
      <c r="A264" t="s">
        <v>302</v>
      </c>
      <c r="B264" s="16" t="s">
        <v>727</v>
      </c>
      <c r="C264" s="16" t="str">
        <f t="shared" si="16"/>
        <v>07-52M-WB</v>
      </c>
      <c r="D264" s="16" t="b">
        <f t="shared" si="17"/>
        <v>1</v>
      </c>
      <c r="E264" s="16">
        <v>62</v>
      </c>
      <c r="F264" s="17">
        <v>-76.275875999999997</v>
      </c>
      <c r="G264" s="17">
        <v>42.779462000000002</v>
      </c>
      <c r="H264">
        <v>52</v>
      </c>
      <c r="I264" t="s">
        <v>372</v>
      </c>
      <c r="J264" t="s">
        <v>360</v>
      </c>
      <c r="N264" s="13"/>
      <c r="O264" s="13"/>
      <c r="P264">
        <v>64</v>
      </c>
      <c r="Q264">
        <v>2</v>
      </c>
      <c r="R264" t="s">
        <v>352</v>
      </c>
      <c r="S264" t="s">
        <v>355</v>
      </c>
      <c r="U264" s="14" t="str">
        <f t="shared" si="18"/>
        <v>Y</v>
      </c>
    </row>
    <row r="265" spans="1:21" customFormat="1" x14ac:dyDescent="0.25">
      <c r="A265" t="s">
        <v>59</v>
      </c>
      <c r="B265" s="16"/>
      <c r="C265" s="16"/>
      <c r="D265" s="16" t="str">
        <f t="shared" si="17"/>
        <v/>
      </c>
      <c r="E265" s="16"/>
      <c r="F265" s="17">
        <v>-76.278733000000003</v>
      </c>
      <c r="G265" s="17">
        <v>42.772502000000003</v>
      </c>
      <c r="H265">
        <v>1</v>
      </c>
      <c r="I265" t="s">
        <v>364</v>
      </c>
      <c r="J265" t="s">
        <v>359</v>
      </c>
      <c r="K265">
        <v>35</v>
      </c>
      <c r="L265">
        <v>1</v>
      </c>
      <c r="M265">
        <v>0</v>
      </c>
      <c r="N265" s="13" t="s">
        <v>352</v>
      </c>
      <c r="O265" s="13" t="s">
        <v>356</v>
      </c>
      <c r="T265">
        <v>26</v>
      </c>
      <c r="U265" s="14" t="str">
        <f t="shared" si="18"/>
        <v>Y</v>
      </c>
    </row>
    <row r="266" spans="1:21" customFormat="1" x14ac:dyDescent="0.25">
      <c r="A266" t="s">
        <v>60</v>
      </c>
      <c r="B266" s="16"/>
      <c r="C266" s="16"/>
      <c r="D266" s="16" t="str">
        <f t="shared" si="17"/>
        <v/>
      </c>
      <c r="E266" s="16"/>
      <c r="F266" s="17">
        <v>-76.278733000000003</v>
      </c>
      <c r="G266" s="17">
        <v>42.772502000000003</v>
      </c>
      <c r="H266">
        <v>1</v>
      </c>
      <c r="I266" t="s">
        <v>364</v>
      </c>
      <c r="J266" t="s">
        <v>360</v>
      </c>
      <c r="K266">
        <v>31</v>
      </c>
      <c r="L266">
        <v>76</v>
      </c>
      <c r="M266">
        <v>1</v>
      </c>
      <c r="N266" s="13" t="s">
        <v>352</v>
      </c>
      <c r="O266" s="13" t="s">
        <v>355</v>
      </c>
      <c r="U266" s="14" t="str">
        <f t="shared" si="18"/>
        <v>Y</v>
      </c>
    </row>
    <row r="267" spans="1:21" customFormat="1" x14ac:dyDescent="0.25">
      <c r="A267" t="s">
        <v>61</v>
      </c>
      <c r="B267" s="16"/>
      <c r="C267" s="16"/>
      <c r="D267" s="16" t="str">
        <f t="shared" si="17"/>
        <v/>
      </c>
      <c r="E267" s="16"/>
      <c r="F267" s="17">
        <v>-76.278706</v>
      </c>
      <c r="G267" s="17">
        <v>42.772680000000001</v>
      </c>
      <c r="H267">
        <v>2</v>
      </c>
      <c r="I267" t="s">
        <v>364</v>
      </c>
      <c r="J267" t="s">
        <v>359</v>
      </c>
      <c r="K267">
        <v>29</v>
      </c>
      <c r="L267">
        <v>17</v>
      </c>
      <c r="M267">
        <v>0</v>
      </c>
      <c r="N267" s="13" t="s">
        <v>352</v>
      </c>
      <c r="O267" s="13" t="s">
        <v>356</v>
      </c>
      <c r="T267">
        <v>47</v>
      </c>
      <c r="U267" s="14" t="str">
        <f t="shared" si="18"/>
        <v>Y</v>
      </c>
    </row>
    <row r="268" spans="1:21" customFormat="1" x14ac:dyDescent="0.25">
      <c r="A268" t="s">
        <v>62</v>
      </c>
      <c r="B268" s="16"/>
      <c r="C268" s="16"/>
      <c r="D268" s="16" t="str">
        <f t="shared" si="17"/>
        <v/>
      </c>
      <c r="E268" s="16"/>
      <c r="F268" s="17">
        <v>-76.278328000000002</v>
      </c>
      <c r="G268" s="17">
        <v>42.772382999999998</v>
      </c>
      <c r="H268">
        <v>3</v>
      </c>
      <c r="I268" t="s">
        <v>364</v>
      </c>
      <c r="J268" t="s">
        <v>359</v>
      </c>
      <c r="K268">
        <v>154</v>
      </c>
      <c r="L268">
        <v>0</v>
      </c>
      <c r="M268">
        <v>0</v>
      </c>
      <c r="N268" s="13" t="s">
        <v>352</v>
      </c>
      <c r="O268" s="13" t="s">
        <v>356</v>
      </c>
      <c r="T268">
        <v>25</v>
      </c>
      <c r="U268" s="14" t="str">
        <f t="shared" si="18"/>
        <v>Y</v>
      </c>
    </row>
    <row r="269" spans="1:21" customFormat="1" x14ac:dyDescent="0.25">
      <c r="A269" t="s">
        <v>63</v>
      </c>
      <c r="B269" s="16"/>
      <c r="C269" s="16"/>
      <c r="D269" s="16" t="str">
        <f t="shared" si="17"/>
        <v/>
      </c>
      <c r="E269" s="16"/>
      <c r="F269" s="17">
        <v>-76.275191000000007</v>
      </c>
      <c r="G269" s="17">
        <v>42.772297000000002</v>
      </c>
      <c r="H269">
        <v>5</v>
      </c>
      <c r="I269" t="s">
        <v>364</v>
      </c>
      <c r="J269" t="s">
        <v>359</v>
      </c>
      <c r="K269">
        <v>46</v>
      </c>
      <c r="L269">
        <v>0</v>
      </c>
      <c r="M269">
        <v>0</v>
      </c>
      <c r="N269" s="13" t="s">
        <v>352</v>
      </c>
      <c r="O269" s="13" t="s">
        <v>356</v>
      </c>
      <c r="T269">
        <v>151</v>
      </c>
      <c r="U269" s="14" t="str">
        <f t="shared" si="18"/>
        <v>Y</v>
      </c>
    </row>
    <row r="270" spans="1:21" customFormat="1" x14ac:dyDescent="0.25">
      <c r="A270" t="s">
        <v>64</v>
      </c>
      <c r="B270" s="16"/>
      <c r="C270" s="16"/>
      <c r="D270" s="16" t="str">
        <f t="shared" si="17"/>
        <v/>
      </c>
      <c r="E270" s="16"/>
      <c r="F270" s="17">
        <v>-76.275191000000007</v>
      </c>
      <c r="G270" s="17">
        <v>42.772297000000002</v>
      </c>
      <c r="H270">
        <v>5</v>
      </c>
      <c r="I270" t="s">
        <v>364</v>
      </c>
      <c r="J270" t="s">
        <v>360</v>
      </c>
      <c r="K270">
        <v>134</v>
      </c>
      <c r="L270">
        <v>8</v>
      </c>
      <c r="M270">
        <v>0</v>
      </c>
      <c r="N270" s="13" t="s">
        <v>352</v>
      </c>
      <c r="O270" s="13" t="s">
        <v>354</v>
      </c>
      <c r="T270">
        <v>229</v>
      </c>
      <c r="U270" s="14" t="str">
        <f t="shared" si="18"/>
        <v>Y</v>
      </c>
    </row>
    <row r="271" spans="1:21" customFormat="1" x14ac:dyDescent="0.25">
      <c r="A271" t="s">
        <v>65</v>
      </c>
      <c r="B271" s="16"/>
      <c r="C271" s="16"/>
      <c r="D271" s="16" t="str">
        <f t="shared" si="17"/>
        <v/>
      </c>
      <c r="E271" s="16"/>
      <c r="F271" s="17">
        <v>-76.275642000000005</v>
      </c>
      <c r="G271" s="17">
        <v>42.772171</v>
      </c>
      <c r="H271">
        <v>5</v>
      </c>
      <c r="I271" t="s">
        <v>364</v>
      </c>
      <c r="J271" t="s">
        <v>359</v>
      </c>
      <c r="K271">
        <v>216</v>
      </c>
      <c r="L271">
        <v>74</v>
      </c>
      <c r="M271">
        <v>1</v>
      </c>
      <c r="N271" s="13" t="s">
        <v>352</v>
      </c>
      <c r="O271" s="13" t="s">
        <v>353</v>
      </c>
      <c r="T271">
        <v>72</v>
      </c>
      <c r="U271" s="14" t="str">
        <f t="shared" si="18"/>
        <v>Y</v>
      </c>
    </row>
    <row r="272" spans="1:21" customFormat="1" x14ac:dyDescent="0.25">
      <c r="A272" t="s">
        <v>66</v>
      </c>
      <c r="B272" s="16"/>
      <c r="C272" s="16"/>
      <c r="D272" s="16" t="str">
        <f t="shared" si="17"/>
        <v/>
      </c>
      <c r="E272" s="16"/>
      <c r="F272" s="17">
        <v>-76.275642000000005</v>
      </c>
      <c r="G272" s="17">
        <v>42.772171</v>
      </c>
      <c r="H272">
        <v>5</v>
      </c>
      <c r="I272" t="s">
        <v>364</v>
      </c>
      <c r="J272" t="s">
        <v>360</v>
      </c>
      <c r="K272">
        <v>290</v>
      </c>
      <c r="L272">
        <v>6</v>
      </c>
      <c r="M272">
        <v>0</v>
      </c>
      <c r="N272" s="13" t="s">
        <v>352</v>
      </c>
      <c r="O272" s="13" t="s">
        <v>356</v>
      </c>
      <c r="T272">
        <v>96</v>
      </c>
      <c r="U272" s="14" t="str">
        <f t="shared" si="18"/>
        <v>Y</v>
      </c>
    </row>
    <row r="273" spans="1:21" customFormat="1" x14ac:dyDescent="0.25">
      <c r="A273" t="s">
        <v>67</v>
      </c>
      <c r="B273" s="16"/>
      <c r="C273" s="16"/>
      <c r="D273" s="16" t="str">
        <f t="shared" si="17"/>
        <v/>
      </c>
      <c r="E273" s="16"/>
      <c r="F273" s="17">
        <v>-76.421757999999997</v>
      </c>
      <c r="G273" s="17">
        <v>42.942070000000001</v>
      </c>
      <c r="H273">
        <v>1</v>
      </c>
      <c r="I273" t="s">
        <v>365</v>
      </c>
      <c r="J273" t="s">
        <v>359</v>
      </c>
      <c r="K273">
        <v>5</v>
      </c>
      <c r="L273">
        <v>13</v>
      </c>
      <c r="M273">
        <v>0</v>
      </c>
      <c r="N273" s="13" t="s">
        <v>357</v>
      </c>
      <c r="O273" s="13" t="s">
        <v>355</v>
      </c>
      <c r="T273">
        <v>0</v>
      </c>
      <c r="U273" s="14" t="str">
        <f t="shared" si="18"/>
        <v>Y</v>
      </c>
    </row>
    <row r="274" spans="1:21" customFormat="1" x14ac:dyDescent="0.25">
      <c r="A274" t="s">
        <v>68</v>
      </c>
      <c r="B274" s="16"/>
      <c r="C274" s="16"/>
      <c r="D274" s="16" t="str">
        <f t="shared" si="17"/>
        <v/>
      </c>
      <c r="E274" s="16"/>
      <c r="F274" s="17">
        <v>-76.421757999999997</v>
      </c>
      <c r="G274" s="17">
        <v>42.942070000000001</v>
      </c>
      <c r="H274">
        <v>1</v>
      </c>
      <c r="I274" t="s">
        <v>365</v>
      </c>
      <c r="J274" t="s">
        <v>360</v>
      </c>
      <c r="K274">
        <v>43</v>
      </c>
      <c r="L274">
        <v>8</v>
      </c>
      <c r="M274">
        <v>0</v>
      </c>
      <c r="N274" s="13" t="s">
        <v>357</v>
      </c>
      <c r="O274" s="13" t="s">
        <v>355</v>
      </c>
      <c r="U274" s="14" t="str">
        <f t="shared" si="18"/>
        <v>Y</v>
      </c>
    </row>
    <row r="275" spans="1:21" customFormat="1" x14ac:dyDescent="0.25">
      <c r="A275" t="s">
        <v>69</v>
      </c>
      <c r="B275" s="16"/>
      <c r="C275" s="16"/>
      <c r="D275" s="16" t="str">
        <f t="shared" si="17"/>
        <v/>
      </c>
      <c r="E275" s="16"/>
      <c r="F275" s="17">
        <v>-76.421947000000003</v>
      </c>
      <c r="G275" s="17">
        <v>42.941892000000003</v>
      </c>
      <c r="H275">
        <v>2</v>
      </c>
      <c r="I275" t="s">
        <v>365</v>
      </c>
      <c r="J275" t="s">
        <v>359</v>
      </c>
      <c r="K275">
        <v>157</v>
      </c>
      <c r="L275">
        <v>59</v>
      </c>
      <c r="M275">
        <v>0</v>
      </c>
      <c r="N275" s="13" t="s">
        <v>357</v>
      </c>
      <c r="O275" s="13" t="s">
        <v>354</v>
      </c>
      <c r="T275">
        <v>1</v>
      </c>
      <c r="U275" s="14" t="str">
        <f t="shared" si="18"/>
        <v>Y</v>
      </c>
    </row>
    <row r="276" spans="1:21" customFormat="1" x14ac:dyDescent="0.25">
      <c r="A276" t="s">
        <v>70</v>
      </c>
      <c r="B276" s="16"/>
      <c r="C276" s="16"/>
      <c r="D276" s="16" t="str">
        <f t="shared" si="17"/>
        <v/>
      </c>
      <c r="E276" s="16"/>
      <c r="F276" s="17">
        <v>-76.421947000000003</v>
      </c>
      <c r="G276" s="17">
        <v>42.941892000000003</v>
      </c>
      <c r="H276">
        <v>2</v>
      </c>
      <c r="I276" t="s">
        <v>365</v>
      </c>
      <c r="J276" t="s">
        <v>360</v>
      </c>
      <c r="K276">
        <v>25</v>
      </c>
      <c r="L276">
        <v>31</v>
      </c>
      <c r="M276">
        <v>1</v>
      </c>
      <c r="N276" s="13" t="s">
        <v>357</v>
      </c>
      <c r="O276" s="13" t="s">
        <v>355</v>
      </c>
      <c r="U276" s="14" t="str">
        <f t="shared" si="18"/>
        <v>Y</v>
      </c>
    </row>
    <row r="277" spans="1:21" customFormat="1" x14ac:dyDescent="0.25">
      <c r="A277" t="s">
        <v>71</v>
      </c>
      <c r="B277" s="16"/>
      <c r="C277" s="16"/>
      <c r="D277" s="16" t="str">
        <f t="shared" si="17"/>
        <v/>
      </c>
      <c r="E277" s="16"/>
      <c r="F277" s="17">
        <v>-76.423767499999997</v>
      </c>
      <c r="G277" s="17">
        <v>42.941133000000001</v>
      </c>
      <c r="H277">
        <v>3</v>
      </c>
      <c r="I277" t="s">
        <v>365</v>
      </c>
      <c r="J277" t="s">
        <v>359</v>
      </c>
      <c r="K277">
        <v>125</v>
      </c>
      <c r="L277">
        <v>8</v>
      </c>
      <c r="M277">
        <v>0</v>
      </c>
      <c r="N277" s="13" t="s">
        <v>352</v>
      </c>
      <c r="O277" s="13" t="s">
        <v>354</v>
      </c>
      <c r="T277">
        <v>67</v>
      </c>
      <c r="U277" s="14" t="str">
        <f t="shared" si="18"/>
        <v>Y</v>
      </c>
    </row>
    <row r="278" spans="1:21" customFormat="1" x14ac:dyDescent="0.25">
      <c r="A278" t="s">
        <v>72</v>
      </c>
      <c r="B278" s="16"/>
      <c r="C278" s="16"/>
      <c r="D278" s="16" t="str">
        <f t="shared" si="17"/>
        <v/>
      </c>
      <c r="E278" s="16"/>
      <c r="F278" s="17">
        <v>-76.422162999999998</v>
      </c>
      <c r="G278" s="17">
        <v>42.941760000000002</v>
      </c>
      <c r="H278">
        <v>3</v>
      </c>
      <c r="I278" t="s">
        <v>365</v>
      </c>
      <c r="J278" t="s">
        <v>360</v>
      </c>
      <c r="K278">
        <v>185</v>
      </c>
      <c r="L278">
        <v>31</v>
      </c>
      <c r="M278">
        <v>0</v>
      </c>
      <c r="N278" s="13" t="s">
        <v>352</v>
      </c>
      <c r="O278" s="13" t="s">
        <v>354</v>
      </c>
      <c r="T278">
        <v>87</v>
      </c>
      <c r="U278" s="14" t="str">
        <f t="shared" si="18"/>
        <v>Y</v>
      </c>
    </row>
    <row r="279" spans="1:21" customFormat="1" x14ac:dyDescent="0.25">
      <c r="A279" t="s">
        <v>73</v>
      </c>
      <c r="B279" s="16"/>
      <c r="C279" s="16"/>
      <c r="D279" s="16" t="str">
        <f t="shared" si="17"/>
        <v/>
      </c>
      <c r="E279" s="16"/>
      <c r="F279" s="17">
        <v>-76.422162999999998</v>
      </c>
      <c r="G279" s="17">
        <v>42.941760000000002</v>
      </c>
      <c r="H279">
        <v>3</v>
      </c>
      <c r="I279" t="s">
        <v>365</v>
      </c>
      <c r="J279" t="s">
        <v>366</v>
      </c>
      <c r="K279">
        <v>18</v>
      </c>
      <c r="L279">
        <v>7</v>
      </c>
      <c r="M279">
        <v>0</v>
      </c>
      <c r="N279" s="13" t="s">
        <v>352</v>
      </c>
      <c r="O279" s="13" t="s">
        <v>353</v>
      </c>
      <c r="T279">
        <v>2</v>
      </c>
      <c r="U279" s="14" t="str">
        <f t="shared" si="18"/>
        <v>Y</v>
      </c>
    </row>
    <row r="280" spans="1:21" customFormat="1" x14ac:dyDescent="0.25">
      <c r="A280" t="s">
        <v>217</v>
      </c>
      <c r="B280" s="16" t="s">
        <v>728</v>
      </c>
      <c r="C280" s="16" t="str">
        <f>UPPER(RIGHT(B280,9))</f>
        <v>X1-21M-WA</v>
      </c>
      <c r="D280" s="16" t="b">
        <f t="shared" si="17"/>
        <v>1</v>
      </c>
      <c r="E280" s="16">
        <v>153</v>
      </c>
      <c r="F280" s="17">
        <v>-76.414203999999998</v>
      </c>
      <c r="G280" s="17">
        <v>42.902982999999999</v>
      </c>
      <c r="H280">
        <v>21</v>
      </c>
      <c r="I280" t="s">
        <v>373</v>
      </c>
      <c r="J280" t="s">
        <v>359</v>
      </c>
      <c r="N280" s="13"/>
      <c r="O280" s="13"/>
      <c r="P280">
        <v>144</v>
      </c>
      <c r="Q280">
        <v>2</v>
      </c>
      <c r="R280" t="s">
        <v>352</v>
      </c>
      <c r="S280" t="s">
        <v>355</v>
      </c>
      <c r="T280">
        <v>85</v>
      </c>
      <c r="U280" s="14" t="str">
        <f t="shared" si="18"/>
        <v>Y</v>
      </c>
    </row>
    <row r="281" spans="1:21" customFormat="1" x14ac:dyDescent="0.25">
      <c r="A281" t="s">
        <v>303</v>
      </c>
      <c r="B281" s="16" t="s">
        <v>729</v>
      </c>
      <c r="C281" s="16" t="str">
        <f>UPPER(RIGHT(B281,9))</f>
        <v>X1-21M-WB</v>
      </c>
      <c r="D281" s="16" t="b">
        <f t="shared" si="17"/>
        <v>1</v>
      </c>
      <c r="E281" s="16">
        <v>297</v>
      </c>
      <c r="F281" s="17">
        <v>-76.414203999999998</v>
      </c>
      <c r="G281" s="17">
        <v>42.902982999999999</v>
      </c>
      <c r="H281">
        <v>21</v>
      </c>
      <c r="I281" t="s">
        <v>373</v>
      </c>
      <c r="J281" t="s">
        <v>360</v>
      </c>
      <c r="N281" s="13"/>
      <c r="O281" s="13"/>
      <c r="P281">
        <v>313</v>
      </c>
      <c r="Q281">
        <v>1</v>
      </c>
      <c r="R281" t="s">
        <v>352</v>
      </c>
      <c r="S281" t="s">
        <v>355</v>
      </c>
      <c r="U281" s="14" t="str">
        <f t="shared" si="18"/>
        <v>Y</v>
      </c>
    </row>
    <row r="282" spans="1:21" customFormat="1" x14ac:dyDescent="0.25">
      <c r="A282" t="s">
        <v>218</v>
      </c>
      <c r="B282" s="16" t="s">
        <v>730</v>
      </c>
      <c r="C282" s="16" t="str">
        <f>UPPER(RIGHT(B282,9))</f>
        <v>X1-24M-WA</v>
      </c>
      <c r="D282" s="16" t="b">
        <f t="shared" si="17"/>
        <v>1</v>
      </c>
      <c r="E282" s="16">
        <v>149</v>
      </c>
      <c r="F282" s="17">
        <v>-76.413736</v>
      </c>
      <c r="G282" s="17">
        <v>42.901980000000002</v>
      </c>
      <c r="H282">
        <v>24</v>
      </c>
      <c r="I282" t="s">
        <v>373</v>
      </c>
      <c r="J282" t="s">
        <v>359</v>
      </c>
      <c r="N282" s="13"/>
      <c r="O282" s="13"/>
      <c r="P282">
        <v>177</v>
      </c>
      <c r="Q282">
        <v>2</v>
      </c>
      <c r="R282" t="s">
        <v>352</v>
      </c>
      <c r="S282" t="s">
        <v>355</v>
      </c>
      <c r="T282">
        <v>78</v>
      </c>
      <c r="U282" s="14" t="str">
        <f t="shared" si="18"/>
        <v>Y</v>
      </c>
    </row>
    <row r="283" spans="1:21" customFormat="1" x14ac:dyDescent="0.25">
      <c r="A283" t="s">
        <v>304</v>
      </c>
      <c r="B283" s="16" t="s">
        <v>731</v>
      </c>
      <c r="C283" s="16" t="str">
        <f>UPPER(RIGHT(B283,9))</f>
        <v>X1-24M-WB</v>
      </c>
      <c r="D283" s="16" t="b">
        <f t="shared" si="17"/>
        <v>1</v>
      </c>
      <c r="E283" s="16">
        <v>188</v>
      </c>
      <c r="F283" s="17">
        <v>-76.413736</v>
      </c>
      <c r="G283" s="17">
        <v>42.901980000000002</v>
      </c>
      <c r="H283">
        <v>24</v>
      </c>
      <c r="I283" t="s">
        <v>373</v>
      </c>
      <c r="J283" t="s">
        <v>360</v>
      </c>
      <c r="N283" s="13"/>
      <c r="O283" s="13"/>
      <c r="P283">
        <v>225</v>
      </c>
      <c r="Q283">
        <v>2</v>
      </c>
      <c r="R283" t="s">
        <v>352</v>
      </c>
      <c r="S283" t="s">
        <v>355</v>
      </c>
      <c r="U283" s="14" t="str">
        <f t="shared" si="18"/>
        <v>Y</v>
      </c>
    </row>
    <row r="284" spans="1:21" customFormat="1" x14ac:dyDescent="0.25">
      <c r="A284" t="s">
        <v>219</v>
      </c>
      <c r="B284" s="16" t="s">
        <v>732</v>
      </c>
      <c r="C284" s="16" t="str">
        <f>UPPER(RIGHT(B284,9))</f>
        <v>X1-28M-WA</v>
      </c>
      <c r="D284" s="16" t="b">
        <f t="shared" si="17"/>
        <v>1</v>
      </c>
      <c r="E284" s="16">
        <v>151</v>
      </c>
      <c r="F284" s="17">
        <v>-76.413383999999994</v>
      </c>
      <c r="G284" s="17">
        <v>42.901868</v>
      </c>
      <c r="H284">
        <v>28</v>
      </c>
      <c r="I284" t="s">
        <v>373</v>
      </c>
      <c r="J284" t="s">
        <v>359</v>
      </c>
      <c r="N284" s="13"/>
      <c r="O284" s="13"/>
      <c r="P284">
        <v>154</v>
      </c>
      <c r="Q284">
        <v>2</v>
      </c>
      <c r="R284" t="s">
        <v>352</v>
      </c>
      <c r="S284" t="s">
        <v>355</v>
      </c>
      <c r="T284">
        <v>55</v>
      </c>
      <c r="U284" s="14" t="str">
        <f t="shared" si="18"/>
        <v>Y</v>
      </c>
    </row>
    <row r="285" spans="1:21" customFormat="1" x14ac:dyDescent="0.25">
      <c r="A285" t="s">
        <v>305</v>
      </c>
      <c r="B285" s="16"/>
      <c r="C285" s="16"/>
      <c r="D285" s="16" t="str">
        <f t="shared" si="17"/>
        <v/>
      </c>
      <c r="E285" s="16"/>
      <c r="F285" s="17">
        <v>-76.413383999999994</v>
      </c>
      <c r="G285" s="17">
        <v>42.901868</v>
      </c>
      <c r="H285">
        <v>28</v>
      </c>
      <c r="I285" t="s">
        <v>373</v>
      </c>
      <c r="J285" t="s">
        <v>360</v>
      </c>
      <c r="N285" s="13"/>
      <c r="O285" s="13"/>
      <c r="P285">
        <v>144</v>
      </c>
      <c r="Q285">
        <v>1</v>
      </c>
      <c r="R285" t="s">
        <v>352</v>
      </c>
      <c r="S285" t="s">
        <v>355</v>
      </c>
      <c r="U285" s="14" t="str">
        <f t="shared" si="18"/>
        <v>Y</v>
      </c>
    </row>
    <row r="286" spans="1:21" customFormat="1" x14ac:dyDescent="0.25">
      <c r="A286" t="s">
        <v>220</v>
      </c>
      <c r="B286" s="16" t="s">
        <v>733</v>
      </c>
      <c r="C286" s="16" t="str">
        <f t="shared" ref="C286:C293" si="19">UPPER(RIGHT(B286,9))</f>
        <v>X1-29M-WA</v>
      </c>
      <c r="D286" s="16" t="b">
        <f t="shared" si="17"/>
        <v>1</v>
      </c>
      <c r="E286" s="16">
        <v>273</v>
      </c>
      <c r="F286" s="17">
        <v>-76.413177000000005</v>
      </c>
      <c r="G286" s="17">
        <v>42.902554000000002</v>
      </c>
      <c r="H286">
        <v>29</v>
      </c>
      <c r="I286" t="s">
        <v>373</v>
      </c>
      <c r="J286" t="s">
        <v>359</v>
      </c>
      <c r="P286">
        <v>311</v>
      </c>
      <c r="Q286">
        <v>2</v>
      </c>
      <c r="R286" t="s">
        <v>352</v>
      </c>
      <c r="S286" t="s">
        <v>355</v>
      </c>
      <c r="T286">
        <v>140</v>
      </c>
      <c r="U286" s="14" t="str">
        <f t="shared" si="18"/>
        <v>Y</v>
      </c>
    </row>
    <row r="287" spans="1:21" customFormat="1" x14ac:dyDescent="0.25">
      <c r="A287" t="s">
        <v>221</v>
      </c>
      <c r="B287" s="16" t="s">
        <v>734</v>
      </c>
      <c r="C287" s="16" t="str">
        <f t="shared" si="19"/>
        <v>X1-32M-WA</v>
      </c>
      <c r="D287" s="16" t="b">
        <f t="shared" si="17"/>
        <v>1</v>
      </c>
      <c r="E287" s="16">
        <v>145</v>
      </c>
      <c r="F287" s="17">
        <v>-76.412924000000004</v>
      </c>
      <c r="G287" s="17">
        <v>42.902171000000003</v>
      </c>
      <c r="H287">
        <v>32</v>
      </c>
      <c r="I287" t="s">
        <v>373</v>
      </c>
      <c r="J287" t="s">
        <v>359</v>
      </c>
      <c r="P287">
        <v>139</v>
      </c>
      <c r="Q287">
        <v>2</v>
      </c>
      <c r="R287" t="s">
        <v>352</v>
      </c>
      <c r="S287" t="s">
        <v>355</v>
      </c>
      <c r="T287">
        <v>56</v>
      </c>
      <c r="U287" s="14" t="str">
        <f t="shared" si="18"/>
        <v>Y</v>
      </c>
    </row>
    <row r="288" spans="1:21" customFormat="1" x14ac:dyDescent="0.25">
      <c r="A288" t="s">
        <v>222</v>
      </c>
      <c r="B288" s="16" t="s">
        <v>735</v>
      </c>
      <c r="C288" s="16" t="str">
        <f t="shared" si="19"/>
        <v>X1-35M-WA</v>
      </c>
      <c r="D288" s="16" t="b">
        <f t="shared" si="17"/>
        <v>1</v>
      </c>
      <c r="E288" s="16">
        <v>153</v>
      </c>
      <c r="F288" s="17">
        <v>-76.412482999999995</v>
      </c>
      <c r="G288" s="17">
        <v>42.90025</v>
      </c>
      <c r="H288">
        <v>35</v>
      </c>
      <c r="I288" t="s">
        <v>373</v>
      </c>
      <c r="J288" t="s">
        <v>359</v>
      </c>
      <c r="P288">
        <v>149</v>
      </c>
      <c r="Q288">
        <v>2</v>
      </c>
      <c r="R288" t="s">
        <v>352</v>
      </c>
      <c r="S288" t="s">
        <v>355</v>
      </c>
      <c r="T288">
        <v>61</v>
      </c>
      <c r="U288" s="14" t="str">
        <f t="shared" si="18"/>
        <v>Y</v>
      </c>
    </row>
    <row r="289" spans="1:21" customFormat="1" x14ac:dyDescent="0.25">
      <c r="A289" t="s">
        <v>306</v>
      </c>
      <c r="B289" s="16" t="s">
        <v>736</v>
      </c>
      <c r="C289" s="16" t="str">
        <f t="shared" si="19"/>
        <v>X3-03M-WA</v>
      </c>
      <c r="D289" s="16" t="b">
        <f t="shared" si="17"/>
        <v>1</v>
      </c>
      <c r="E289" s="16">
        <v>414</v>
      </c>
      <c r="F289" s="17">
        <v>-76.401287999999994</v>
      </c>
      <c r="G289" s="17">
        <v>42.867610999999997</v>
      </c>
      <c r="H289">
        <v>3</v>
      </c>
      <c r="I289" t="s">
        <v>374</v>
      </c>
      <c r="J289" t="s">
        <v>359</v>
      </c>
      <c r="P289">
        <v>398</v>
      </c>
      <c r="Q289">
        <v>2</v>
      </c>
      <c r="R289" t="s">
        <v>357</v>
      </c>
      <c r="S289" t="s">
        <v>355</v>
      </c>
      <c r="U289" s="14" t="str">
        <f t="shared" si="18"/>
        <v>Y</v>
      </c>
    </row>
    <row r="290" spans="1:21" customFormat="1" x14ac:dyDescent="0.25">
      <c r="A290" t="s">
        <v>307</v>
      </c>
      <c r="B290" s="16" t="s">
        <v>737</v>
      </c>
      <c r="C290" s="16" t="str">
        <f t="shared" si="19"/>
        <v>X3-03M-WB</v>
      </c>
      <c r="D290" s="16" t="b">
        <f t="shared" si="17"/>
        <v>1</v>
      </c>
      <c r="E290" s="16">
        <v>119</v>
      </c>
      <c r="F290" s="17">
        <v>-76.401324000000002</v>
      </c>
      <c r="G290" s="17">
        <v>42.867069000000001</v>
      </c>
      <c r="H290">
        <v>3</v>
      </c>
      <c r="I290" t="s">
        <v>374</v>
      </c>
      <c r="J290" t="s">
        <v>360</v>
      </c>
      <c r="P290">
        <v>133</v>
      </c>
      <c r="Q290">
        <v>1</v>
      </c>
      <c r="R290" t="s">
        <v>357</v>
      </c>
      <c r="S290" t="s">
        <v>381</v>
      </c>
      <c r="U290" s="14" t="str">
        <f t="shared" si="18"/>
        <v>Y</v>
      </c>
    </row>
    <row r="291" spans="1:21" customFormat="1" x14ac:dyDescent="0.25">
      <c r="A291" t="s">
        <v>308</v>
      </c>
      <c r="B291" s="16" t="s">
        <v>738</v>
      </c>
      <c r="C291" s="16" t="str">
        <f t="shared" si="19"/>
        <v>X3-05M-WA</v>
      </c>
      <c r="D291" s="16" t="b">
        <f t="shared" si="17"/>
        <v>1</v>
      </c>
      <c r="E291" s="16">
        <v>264</v>
      </c>
      <c r="F291" s="17">
        <v>-76.400630000000007</v>
      </c>
      <c r="G291" s="17">
        <v>42.867089</v>
      </c>
      <c r="H291">
        <v>5</v>
      </c>
      <c r="I291" t="s">
        <v>374</v>
      </c>
      <c r="J291" t="s">
        <v>359</v>
      </c>
      <c r="P291">
        <v>251</v>
      </c>
      <c r="Q291">
        <v>2</v>
      </c>
      <c r="R291" t="s">
        <v>357</v>
      </c>
      <c r="S291" t="s">
        <v>355</v>
      </c>
      <c r="U291" s="14" t="str">
        <f t="shared" si="18"/>
        <v>Y</v>
      </c>
    </row>
    <row r="292" spans="1:21" customFormat="1" x14ac:dyDescent="0.25">
      <c r="A292" t="s">
        <v>309</v>
      </c>
      <c r="B292" s="16" t="s">
        <v>739</v>
      </c>
      <c r="C292" s="16" t="str">
        <f t="shared" si="19"/>
        <v>X3-05M-WB</v>
      </c>
      <c r="D292" s="16" t="b">
        <f t="shared" si="17"/>
        <v>1</v>
      </c>
      <c r="E292" s="16">
        <v>130</v>
      </c>
      <c r="F292" s="17">
        <v>-76.400972999999993</v>
      </c>
      <c r="G292" s="17">
        <v>42.867657000000001</v>
      </c>
      <c r="H292">
        <v>5</v>
      </c>
      <c r="I292" t="s">
        <v>374</v>
      </c>
      <c r="J292" t="s">
        <v>360</v>
      </c>
      <c r="P292">
        <v>126</v>
      </c>
      <c r="Q292">
        <v>2</v>
      </c>
      <c r="R292" t="s">
        <v>357</v>
      </c>
      <c r="S292" t="s">
        <v>355</v>
      </c>
      <c r="U292" s="14" t="str">
        <f t="shared" si="18"/>
        <v>Y</v>
      </c>
    </row>
    <row r="293" spans="1:21" customFormat="1" x14ac:dyDescent="0.25">
      <c r="A293" t="s">
        <v>310</v>
      </c>
      <c r="B293" s="16" t="s">
        <v>740</v>
      </c>
      <c r="C293" s="16" t="str">
        <f t="shared" si="19"/>
        <v>X3-08M-WA</v>
      </c>
      <c r="D293" s="16" t="b">
        <f t="shared" si="17"/>
        <v>1</v>
      </c>
      <c r="E293" s="16">
        <v>356</v>
      </c>
      <c r="F293" s="17">
        <v>-76.399404000000004</v>
      </c>
      <c r="G293" s="17">
        <v>42.865985999999999</v>
      </c>
      <c r="H293">
        <v>8</v>
      </c>
      <c r="I293" t="s">
        <v>374</v>
      </c>
      <c r="J293" t="s">
        <v>359</v>
      </c>
      <c r="P293">
        <v>344</v>
      </c>
      <c r="Q293">
        <v>2</v>
      </c>
      <c r="R293" t="s">
        <v>352</v>
      </c>
      <c r="S293" t="s">
        <v>355</v>
      </c>
      <c r="U293" s="14" t="str">
        <f t="shared" si="18"/>
        <v>Y</v>
      </c>
    </row>
    <row r="294" spans="1:21" customFormat="1" x14ac:dyDescent="0.25">
      <c r="A294" t="s">
        <v>337</v>
      </c>
      <c r="B294" s="16"/>
      <c r="C294" s="16"/>
      <c r="D294" s="16" t="str">
        <f t="shared" si="17"/>
        <v/>
      </c>
      <c r="E294" s="16"/>
      <c r="F294" s="17">
        <v>-76.398954000000003</v>
      </c>
      <c r="G294" s="17">
        <v>42.86551</v>
      </c>
      <c r="H294">
        <v>8</v>
      </c>
      <c r="I294" t="s">
        <v>374</v>
      </c>
      <c r="J294" t="s">
        <v>360</v>
      </c>
      <c r="P294">
        <v>0</v>
      </c>
      <c r="Q294">
        <v>0</v>
      </c>
      <c r="R294" t="s">
        <v>352</v>
      </c>
      <c r="S294" t="s">
        <v>353</v>
      </c>
      <c r="U294" s="14" t="str">
        <f t="shared" si="18"/>
        <v>Y</v>
      </c>
    </row>
    <row r="295" spans="1:21" customFormat="1" x14ac:dyDescent="0.25">
      <c r="A295" t="s">
        <v>223</v>
      </c>
      <c r="B295" s="16" t="s">
        <v>741</v>
      </c>
      <c r="C295" s="16" t="str">
        <f>UPPER(RIGHT(B295,9))</f>
        <v>X4-01M-EA</v>
      </c>
      <c r="D295" s="16" t="b">
        <f t="shared" si="17"/>
        <v>1</v>
      </c>
      <c r="E295" s="16">
        <v>32</v>
      </c>
      <c r="F295" s="17">
        <v>-76.358096539069706</v>
      </c>
      <c r="G295" s="17">
        <v>42.861042438565697</v>
      </c>
      <c r="H295">
        <v>1</v>
      </c>
      <c r="I295" t="s">
        <v>375</v>
      </c>
      <c r="J295" t="s">
        <v>359</v>
      </c>
      <c r="P295">
        <v>21</v>
      </c>
      <c r="Q295">
        <v>1</v>
      </c>
      <c r="R295" t="s">
        <v>352</v>
      </c>
      <c r="S295" t="s">
        <v>354</v>
      </c>
      <c r="T295">
        <v>1</v>
      </c>
      <c r="U295" s="14" t="str">
        <f t="shared" si="18"/>
        <v>Y</v>
      </c>
    </row>
    <row r="296" spans="1:21" customFormat="1" x14ac:dyDescent="0.25">
      <c r="A296" t="s">
        <v>339</v>
      </c>
      <c r="B296" s="16" t="s">
        <v>742</v>
      </c>
      <c r="C296" s="16" t="str">
        <f>UPPER(RIGHT(B296,9))</f>
        <v>X4-01M-EB</v>
      </c>
      <c r="D296" s="16" t="b">
        <f t="shared" si="17"/>
        <v>1</v>
      </c>
      <c r="E296" s="16">
        <v>19</v>
      </c>
      <c r="F296" s="17">
        <v>-76.358096539069706</v>
      </c>
      <c r="G296" s="17">
        <v>42.861042438565697</v>
      </c>
      <c r="H296">
        <v>1</v>
      </c>
      <c r="I296" t="s">
        <v>375</v>
      </c>
      <c r="J296" t="s">
        <v>360</v>
      </c>
      <c r="P296">
        <v>24</v>
      </c>
      <c r="Q296">
        <v>0</v>
      </c>
      <c r="R296" t="s">
        <v>352</v>
      </c>
      <c r="S296" t="s">
        <v>355</v>
      </c>
      <c r="U296" s="14" t="str">
        <f t="shared" si="18"/>
        <v>Y</v>
      </c>
    </row>
    <row r="297" spans="1:21" customFormat="1" x14ac:dyDescent="0.25">
      <c r="A297" t="s">
        <v>311</v>
      </c>
      <c r="B297" s="16" t="s">
        <v>808</v>
      </c>
      <c r="C297" s="16" t="str">
        <f>UPPER(RIGHT(B297,9))</f>
        <v>X4-02M-EA</v>
      </c>
      <c r="D297" s="16" t="b">
        <f t="shared" si="17"/>
        <v>1</v>
      </c>
      <c r="E297" s="16">
        <v>83</v>
      </c>
      <c r="F297" s="17">
        <v>-76.358186000000003</v>
      </c>
      <c r="G297" s="17">
        <v>42.860899000000003</v>
      </c>
      <c r="H297">
        <v>2</v>
      </c>
      <c r="I297" t="s">
        <v>375</v>
      </c>
      <c r="J297" t="s">
        <v>359</v>
      </c>
      <c r="P297">
        <v>87</v>
      </c>
      <c r="Q297">
        <v>0</v>
      </c>
      <c r="R297" t="s">
        <v>357</v>
      </c>
      <c r="S297" t="s">
        <v>355</v>
      </c>
      <c r="U297" s="14" t="str">
        <f t="shared" si="18"/>
        <v>Y</v>
      </c>
    </row>
    <row r="298" spans="1:21" customFormat="1" x14ac:dyDescent="0.25">
      <c r="A298" t="s">
        <v>338</v>
      </c>
      <c r="B298" s="16" t="s">
        <v>809</v>
      </c>
      <c r="C298" s="16" t="str">
        <f>UPPER(RIGHT(B298,9))</f>
        <v>X4-02M-EB</v>
      </c>
      <c r="D298" s="16" t="b">
        <f t="shared" si="17"/>
        <v>1</v>
      </c>
      <c r="E298" s="16">
        <v>31</v>
      </c>
      <c r="F298" s="17">
        <v>-76.358186000000003</v>
      </c>
      <c r="G298" s="17">
        <v>42.860899000000003</v>
      </c>
      <c r="H298">
        <v>2</v>
      </c>
      <c r="I298" t="s">
        <v>375</v>
      </c>
      <c r="J298" t="s">
        <v>360</v>
      </c>
      <c r="P298">
        <v>36</v>
      </c>
      <c r="Q298">
        <v>0</v>
      </c>
      <c r="R298" t="s">
        <v>357</v>
      </c>
      <c r="S298" t="s">
        <v>355</v>
      </c>
      <c r="U298" s="14" t="str">
        <f t="shared" si="18"/>
        <v>Y</v>
      </c>
    </row>
    <row r="299" spans="1:21" customFormat="1" x14ac:dyDescent="0.25">
      <c r="A299" t="s">
        <v>224</v>
      </c>
      <c r="B299" s="16"/>
      <c r="C299" s="16"/>
      <c r="D299" s="16" t="str">
        <f t="shared" si="17"/>
        <v/>
      </c>
      <c r="E299" s="16"/>
      <c r="F299" s="17">
        <v>-76.358942999999996</v>
      </c>
      <c r="G299" s="17">
        <v>42.860548999999999</v>
      </c>
      <c r="H299">
        <v>6</v>
      </c>
      <c r="I299" t="s">
        <v>375</v>
      </c>
      <c r="J299" t="s">
        <v>359</v>
      </c>
      <c r="T299">
        <v>98</v>
      </c>
      <c r="U299" s="14" t="str">
        <f t="shared" si="18"/>
        <v/>
      </c>
    </row>
    <row r="300" spans="1:21" customFormat="1" x14ac:dyDescent="0.25">
      <c r="A300" t="s">
        <v>225</v>
      </c>
      <c r="B300" s="16"/>
      <c r="C300" s="16"/>
      <c r="D300" s="16" t="str">
        <f t="shared" si="17"/>
        <v/>
      </c>
      <c r="E300" s="16"/>
      <c r="F300" s="17">
        <v>-76.401138064722403</v>
      </c>
      <c r="G300" s="17">
        <v>42.901185842350301</v>
      </c>
      <c r="H300">
        <v>54</v>
      </c>
      <c r="I300" t="s">
        <v>375</v>
      </c>
      <c r="J300" t="s">
        <v>359</v>
      </c>
      <c r="T300">
        <v>5</v>
      </c>
      <c r="U300" s="14" t="str">
        <f t="shared" si="18"/>
        <v/>
      </c>
    </row>
    <row r="301" spans="1:21" customFormat="1" x14ac:dyDescent="0.25">
      <c r="A301" t="s">
        <v>226</v>
      </c>
      <c r="B301" s="16"/>
      <c r="C301" s="16"/>
      <c r="D301" s="16" t="str">
        <f t="shared" si="17"/>
        <v/>
      </c>
      <c r="E301" s="16"/>
      <c r="F301" s="17">
        <v>-76.401138064722403</v>
      </c>
      <c r="G301" s="17">
        <v>42.901185842350301</v>
      </c>
      <c r="H301">
        <v>54</v>
      </c>
      <c r="I301" t="s">
        <v>375</v>
      </c>
      <c r="J301" t="s">
        <v>360</v>
      </c>
      <c r="T301">
        <v>40</v>
      </c>
      <c r="U301" s="14" t="str">
        <f t="shared" si="18"/>
        <v/>
      </c>
    </row>
    <row r="302" spans="1:21" customFormat="1" x14ac:dyDescent="0.25">
      <c r="A302" t="s">
        <v>227</v>
      </c>
      <c r="B302" s="16"/>
      <c r="C302" s="16"/>
      <c r="D302" s="16" t="str">
        <f t="shared" si="17"/>
        <v/>
      </c>
      <c r="E302" s="16"/>
      <c r="F302" s="17">
        <v>-76.401138064722403</v>
      </c>
      <c r="G302" s="17">
        <v>42.901185842350301</v>
      </c>
      <c r="H302">
        <v>54</v>
      </c>
      <c r="I302" t="s">
        <v>375</v>
      </c>
      <c r="J302" t="s">
        <v>366</v>
      </c>
      <c r="T302">
        <v>24</v>
      </c>
      <c r="U302" s="14" t="str">
        <f t="shared" si="18"/>
        <v/>
      </c>
    </row>
    <row r="303" spans="1:21" customFormat="1" x14ac:dyDescent="0.25">
      <c r="A303" t="s">
        <v>228</v>
      </c>
      <c r="B303" s="16" t="s">
        <v>743</v>
      </c>
      <c r="C303" s="16" t="str">
        <f>UPPER(RIGHT(B303,9))</f>
        <v>X6-01M-EA</v>
      </c>
      <c r="D303" s="16" t="b">
        <f t="shared" si="17"/>
        <v>1</v>
      </c>
      <c r="E303" s="16">
        <v>62</v>
      </c>
      <c r="F303" s="17">
        <v>-76.300274999999999</v>
      </c>
      <c r="G303" s="17">
        <v>42.816490999999999</v>
      </c>
      <c r="H303">
        <v>1</v>
      </c>
      <c r="I303" t="s">
        <v>376</v>
      </c>
      <c r="J303" t="s">
        <v>359</v>
      </c>
      <c r="P303">
        <v>86</v>
      </c>
      <c r="Q303">
        <v>1</v>
      </c>
      <c r="R303" t="s">
        <v>357</v>
      </c>
      <c r="S303" t="s">
        <v>355</v>
      </c>
      <c r="T303">
        <v>39</v>
      </c>
      <c r="U303" s="14" t="str">
        <f t="shared" si="18"/>
        <v>Y</v>
      </c>
    </row>
    <row r="304" spans="1:21" customFormat="1" x14ac:dyDescent="0.25">
      <c r="A304" t="s">
        <v>312</v>
      </c>
      <c r="B304" s="16" t="s">
        <v>744</v>
      </c>
      <c r="C304" s="16" t="str">
        <f>UPPER(RIGHT(B304,9))</f>
        <v>X6-01M-EB</v>
      </c>
      <c r="D304" s="16" t="b">
        <f t="shared" si="17"/>
        <v>1</v>
      </c>
      <c r="E304" s="16">
        <v>220</v>
      </c>
      <c r="F304" s="17">
        <v>-76.300274999999999</v>
      </c>
      <c r="G304" s="17">
        <v>42.816490999999999</v>
      </c>
      <c r="H304">
        <v>1</v>
      </c>
      <c r="I304" t="s">
        <v>376</v>
      </c>
      <c r="J304" t="s">
        <v>360</v>
      </c>
      <c r="P304">
        <v>216</v>
      </c>
      <c r="Q304">
        <v>1</v>
      </c>
      <c r="R304" t="s">
        <v>357</v>
      </c>
      <c r="S304" t="s">
        <v>355</v>
      </c>
      <c r="U304" s="14" t="str">
        <f t="shared" si="18"/>
        <v>Y</v>
      </c>
    </row>
    <row r="305" spans="1:21" customFormat="1" x14ac:dyDescent="0.25">
      <c r="A305" t="s">
        <v>313</v>
      </c>
      <c r="B305" s="16" t="s">
        <v>745</v>
      </c>
      <c r="C305" s="16" t="str">
        <f>UPPER(RIGHT(B305,9))</f>
        <v>X6-01M-EC</v>
      </c>
      <c r="D305" s="16" t="b">
        <f t="shared" si="17"/>
        <v>1</v>
      </c>
      <c r="E305" s="16">
        <v>119</v>
      </c>
      <c r="F305" s="17">
        <v>-76.300274999999999</v>
      </c>
      <c r="G305" s="17">
        <v>42.816490999999999</v>
      </c>
      <c r="H305">
        <v>1</v>
      </c>
      <c r="I305" t="s">
        <v>376</v>
      </c>
      <c r="J305" t="s">
        <v>366</v>
      </c>
      <c r="P305">
        <v>111</v>
      </c>
      <c r="Q305">
        <v>1</v>
      </c>
      <c r="R305" t="s">
        <v>357</v>
      </c>
      <c r="S305" t="s">
        <v>355</v>
      </c>
      <c r="U305" s="14" t="str">
        <f t="shared" si="18"/>
        <v>Y</v>
      </c>
    </row>
    <row r="306" spans="1:21" customFormat="1" x14ac:dyDescent="0.25">
      <c r="A306" t="s">
        <v>314</v>
      </c>
      <c r="B306" s="16"/>
      <c r="C306" s="16"/>
      <c r="D306" s="16" t="str">
        <f t="shared" si="17"/>
        <v/>
      </c>
      <c r="E306" s="16"/>
      <c r="F306" s="17">
        <v>-76.300274999999999</v>
      </c>
      <c r="G306" s="17">
        <v>42.816490999999999</v>
      </c>
      <c r="H306">
        <v>1</v>
      </c>
      <c r="I306" t="s">
        <v>376</v>
      </c>
      <c r="J306" t="s">
        <v>370</v>
      </c>
      <c r="P306">
        <v>129</v>
      </c>
      <c r="Q306">
        <v>1</v>
      </c>
      <c r="R306" t="s">
        <v>357</v>
      </c>
      <c r="S306" t="s">
        <v>355</v>
      </c>
      <c r="U306" s="14" t="str">
        <f t="shared" si="18"/>
        <v>Y</v>
      </c>
    </row>
    <row r="307" spans="1:21" customFormat="1" x14ac:dyDescent="0.25">
      <c r="A307" t="s">
        <v>229</v>
      </c>
      <c r="B307" s="16" t="s">
        <v>746</v>
      </c>
      <c r="C307" s="16" t="str">
        <f>UPPER(RIGHT(B307,9))</f>
        <v>X6-04M-EA</v>
      </c>
      <c r="D307" s="16" t="b">
        <f t="shared" si="17"/>
        <v>1</v>
      </c>
      <c r="E307" s="16">
        <v>188</v>
      </c>
      <c r="F307" s="17">
        <v>-76.300362471763805</v>
      </c>
      <c r="G307" s="17">
        <v>42.816422608888097</v>
      </c>
      <c r="H307">
        <v>4</v>
      </c>
      <c r="I307" t="s">
        <v>376</v>
      </c>
      <c r="J307" t="s">
        <v>359</v>
      </c>
      <c r="P307">
        <v>170</v>
      </c>
      <c r="Q307">
        <v>1</v>
      </c>
      <c r="R307" t="s">
        <v>357</v>
      </c>
      <c r="S307" t="s">
        <v>355</v>
      </c>
      <c r="T307">
        <v>78</v>
      </c>
      <c r="U307" s="14" t="str">
        <f t="shared" si="18"/>
        <v>Y</v>
      </c>
    </row>
    <row r="308" spans="1:21" customFormat="1" x14ac:dyDescent="0.25">
      <c r="A308" t="s">
        <v>315</v>
      </c>
      <c r="B308" s="16" t="s">
        <v>747</v>
      </c>
      <c r="C308" s="16" t="str">
        <f>UPPER(RIGHT(B308,9))</f>
        <v>X6-04M-EB</v>
      </c>
      <c r="D308" s="16" t="b">
        <f t="shared" si="17"/>
        <v>1</v>
      </c>
      <c r="E308" s="16">
        <v>206</v>
      </c>
      <c r="F308" s="17">
        <v>-76.300362471763805</v>
      </c>
      <c r="G308" s="17">
        <v>42.816422608888097</v>
      </c>
      <c r="H308">
        <v>4</v>
      </c>
      <c r="I308" t="s">
        <v>376</v>
      </c>
      <c r="J308" t="s">
        <v>360</v>
      </c>
      <c r="P308">
        <v>198</v>
      </c>
      <c r="Q308">
        <v>1</v>
      </c>
      <c r="R308" t="s">
        <v>357</v>
      </c>
      <c r="S308" t="s">
        <v>355</v>
      </c>
      <c r="U308" s="14" t="str">
        <f t="shared" si="18"/>
        <v>Y</v>
      </c>
    </row>
    <row r="309" spans="1:21" customFormat="1" x14ac:dyDescent="0.25">
      <c r="A309" t="s">
        <v>230</v>
      </c>
      <c r="B309" s="16"/>
      <c r="C309" s="16"/>
      <c r="D309" s="16" t="str">
        <f t="shared" si="17"/>
        <v/>
      </c>
      <c r="E309" s="16"/>
      <c r="F309" s="17">
        <v>-76.299689000000001</v>
      </c>
      <c r="G309" s="17">
        <v>42.815697999999998</v>
      </c>
      <c r="H309">
        <v>8</v>
      </c>
      <c r="I309" t="s">
        <v>376</v>
      </c>
      <c r="J309" t="s">
        <v>359</v>
      </c>
      <c r="P309">
        <v>0</v>
      </c>
      <c r="Q309">
        <v>0</v>
      </c>
      <c r="R309" t="s">
        <v>357</v>
      </c>
      <c r="S309" t="s">
        <v>355</v>
      </c>
      <c r="T309">
        <v>48</v>
      </c>
      <c r="U309" s="14" t="str">
        <f t="shared" si="18"/>
        <v>Y</v>
      </c>
    </row>
    <row r="310" spans="1:21" customFormat="1" x14ac:dyDescent="0.25">
      <c r="A310" t="s">
        <v>231</v>
      </c>
      <c r="B310" s="16" t="s">
        <v>748</v>
      </c>
      <c r="C310" s="16" t="str">
        <f>UPPER(RIGHT(B310,9))</f>
        <v>X6-21M-EA</v>
      </c>
      <c r="D310" s="16" t="b">
        <f t="shared" si="17"/>
        <v>1</v>
      </c>
      <c r="E310" s="16">
        <v>114</v>
      </c>
      <c r="F310" s="17">
        <v>-76.300149000000005</v>
      </c>
      <c r="G310" s="17">
        <v>42.815572000000003</v>
      </c>
      <c r="H310">
        <v>21</v>
      </c>
      <c r="I310" t="s">
        <v>376</v>
      </c>
      <c r="J310" t="s">
        <v>359</v>
      </c>
      <c r="P310">
        <v>138</v>
      </c>
      <c r="Q310">
        <v>1</v>
      </c>
      <c r="R310" t="s">
        <v>352</v>
      </c>
      <c r="S310" t="s">
        <v>355</v>
      </c>
      <c r="T310">
        <v>289</v>
      </c>
      <c r="U310" s="14" t="str">
        <f t="shared" si="18"/>
        <v>Y</v>
      </c>
    </row>
    <row r="311" spans="1:21" customFormat="1" x14ac:dyDescent="0.25">
      <c r="A311" t="s">
        <v>232</v>
      </c>
      <c r="B311" s="16" t="s">
        <v>749</v>
      </c>
      <c r="C311" s="16" t="str">
        <f>UPPER(RIGHT(B311,9))</f>
        <v>X6-27M-EA</v>
      </c>
      <c r="D311" s="16" t="b">
        <f t="shared" si="17"/>
        <v>1</v>
      </c>
      <c r="E311" s="16">
        <v>137</v>
      </c>
      <c r="F311" s="17">
        <v>-76.300284000000005</v>
      </c>
      <c r="G311" s="17">
        <v>42.815427</v>
      </c>
      <c r="H311">
        <v>27</v>
      </c>
      <c r="I311" t="s">
        <v>376</v>
      </c>
      <c r="J311" t="s">
        <v>359</v>
      </c>
      <c r="P311">
        <v>161</v>
      </c>
      <c r="Q311">
        <v>1</v>
      </c>
      <c r="R311" t="s">
        <v>352</v>
      </c>
      <c r="S311" t="s">
        <v>355</v>
      </c>
      <c r="T311">
        <v>217</v>
      </c>
      <c r="U311" s="14" t="str">
        <f t="shared" si="18"/>
        <v>Y</v>
      </c>
    </row>
    <row r="312" spans="1:21" customFormat="1" x14ac:dyDescent="0.25">
      <c r="A312" t="s">
        <v>316</v>
      </c>
      <c r="B312" s="16"/>
      <c r="C312" s="16"/>
      <c r="D312" s="16" t="str">
        <f t="shared" si="17"/>
        <v/>
      </c>
      <c r="E312" s="16"/>
      <c r="F312" s="17">
        <v>-76.300284000000005</v>
      </c>
      <c r="G312" s="17">
        <v>42.815427</v>
      </c>
      <c r="H312">
        <v>27</v>
      </c>
      <c r="I312" t="s">
        <v>376</v>
      </c>
      <c r="J312" t="s">
        <v>360</v>
      </c>
      <c r="P312">
        <v>59</v>
      </c>
      <c r="Q312">
        <v>1</v>
      </c>
      <c r="R312" t="s">
        <v>352</v>
      </c>
      <c r="S312" t="s">
        <v>355</v>
      </c>
      <c r="U312" s="14" t="str">
        <f t="shared" si="18"/>
        <v>Y</v>
      </c>
    </row>
    <row r="313" spans="1:21" customFormat="1" x14ac:dyDescent="0.25">
      <c r="A313" t="s">
        <v>247</v>
      </c>
      <c r="B313" s="16" t="s">
        <v>750</v>
      </c>
      <c r="C313" s="16" t="str">
        <f>UPPER(RIGHT(B313,9))</f>
        <v>X7-01M-EA</v>
      </c>
      <c r="D313" s="16" t="b">
        <f t="shared" si="17"/>
        <v>1</v>
      </c>
      <c r="E313" s="16">
        <v>93</v>
      </c>
      <c r="F313" s="17">
        <v>-76.275154999999998</v>
      </c>
      <c r="G313" s="17">
        <v>42.789780999999998</v>
      </c>
      <c r="H313">
        <v>1</v>
      </c>
      <c r="I313" t="s">
        <v>377</v>
      </c>
      <c r="J313" t="s">
        <v>359</v>
      </c>
      <c r="P313">
        <v>75</v>
      </c>
      <c r="Q313">
        <v>0</v>
      </c>
      <c r="R313" t="s">
        <v>357</v>
      </c>
      <c r="S313" t="s">
        <v>355</v>
      </c>
      <c r="T313">
        <v>0</v>
      </c>
      <c r="U313" s="14" t="str">
        <f t="shared" si="18"/>
        <v>Y</v>
      </c>
    </row>
    <row r="314" spans="1:21" customFormat="1" x14ac:dyDescent="0.25">
      <c r="A314" t="s">
        <v>340</v>
      </c>
      <c r="B314" s="16" t="s">
        <v>751</v>
      </c>
      <c r="C314" s="16" t="str">
        <f>UPPER(RIGHT(B314,9))</f>
        <v>X7-01M-EB</v>
      </c>
      <c r="D314" s="16" t="b">
        <f t="shared" si="17"/>
        <v>1</v>
      </c>
      <c r="E314" s="16">
        <v>7</v>
      </c>
      <c r="F314" s="17">
        <v>-76.275154999999998</v>
      </c>
      <c r="G314" s="17">
        <v>42.789780999999998</v>
      </c>
      <c r="H314">
        <v>1</v>
      </c>
      <c r="I314" t="s">
        <v>377</v>
      </c>
      <c r="J314" t="s">
        <v>360</v>
      </c>
      <c r="P314">
        <v>13</v>
      </c>
      <c r="Q314">
        <v>0</v>
      </c>
      <c r="R314" t="s">
        <v>357</v>
      </c>
      <c r="S314" t="s">
        <v>355</v>
      </c>
      <c r="U314" s="14" t="str">
        <f t="shared" si="18"/>
        <v>Y</v>
      </c>
    </row>
    <row r="315" spans="1:21" customFormat="1" x14ac:dyDescent="0.25">
      <c r="A315" t="s">
        <v>234</v>
      </c>
      <c r="B315" s="16"/>
      <c r="C315" s="16"/>
      <c r="D315" s="16" t="str">
        <f t="shared" si="17"/>
        <v/>
      </c>
      <c r="E315" s="16"/>
      <c r="F315" s="17">
        <v>-76.275965999999997</v>
      </c>
      <c r="G315" s="17">
        <v>42.789648999999997</v>
      </c>
      <c r="H315">
        <v>21</v>
      </c>
      <c r="I315" t="s">
        <v>377</v>
      </c>
      <c r="J315" t="s">
        <v>359</v>
      </c>
      <c r="P315">
        <v>122</v>
      </c>
      <c r="Q315">
        <v>1</v>
      </c>
      <c r="R315" t="s">
        <v>352</v>
      </c>
      <c r="S315" t="s">
        <v>355</v>
      </c>
      <c r="T315">
        <v>183</v>
      </c>
      <c r="U315" s="14" t="str">
        <f t="shared" si="18"/>
        <v>Y</v>
      </c>
    </row>
    <row r="316" spans="1:21" customFormat="1" x14ac:dyDescent="0.25">
      <c r="A316" t="s">
        <v>235</v>
      </c>
      <c r="B316" s="16" t="s">
        <v>752</v>
      </c>
      <c r="C316" s="16" t="str">
        <f>UPPER(RIGHT(B316,9))</f>
        <v>X7-26M-EA</v>
      </c>
      <c r="D316" s="16" t="b">
        <f t="shared" si="17"/>
        <v>1</v>
      </c>
      <c r="E316" s="16">
        <v>54</v>
      </c>
      <c r="F316" s="17">
        <v>-76.276047000000005</v>
      </c>
      <c r="G316" s="17">
        <v>42.789588999999999</v>
      </c>
      <c r="H316">
        <v>26</v>
      </c>
      <c r="I316" t="s">
        <v>377</v>
      </c>
      <c r="J316" t="s">
        <v>359</v>
      </c>
      <c r="P316">
        <v>48</v>
      </c>
      <c r="Q316">
        <v>2</v>
      </c>
      <c r="R316" t="s">
        <v>352</v>
      </c>
      <c r="S316" t="s">
        <v>355</v>
      </c>
      <c r="T316">
        <v>45</v>
      </c>
      <c r="U316" s="14" t="str">
        <f t="shared" si="18"/>
        <v>Y</v>
      </c>
    </row>
    <row r="317" spans="1:21" customFormat="1" x14ac:dyDescent="0.25">
      <c r="A317" t="s">
        <v>236</v>
      </c>
      <c r="B317" s="16" t="s">
        <v>753</v>
      </c>
      <c r="C317" s="16" t="str">
        <f>UPPER(RIGHT(B317,9))</f>
        <v>X7-29M-EA</v>
      </c>
      <c r="D317" s="16" t="b">
        <f t="shared" si="17"/>
        <v>1</v>
      </c>
      <c r="E317" s="16">
        <v>219</v>
      </c>
      <c r="F317" s="17">
        <v>-76.276191999999995</v>
      </c>
      <c r="G317" s="17">
        <v>42.789648999999997</v>
      </c>
      <c r="H317">
        <v>29</v>
      </c>
      <c r="I317" t="s">
        <v>377</v>
      </c>
      <c r="J317" t="s">
        <v>359</v>
      </c>
      <c r="P317">
        <v>192</v>
      </c>
      <c r="Q317">
        <v>1</v>
      </c>
      <c r="R317" t="s">
        <v>352</v>
      </c>
      <c r="S317" t="s">
        <v>355</v>
      </c>
      <c r="T317">
        <v>187</v>
      </c>
      <c r="U317" s="14" t="str">
        <f t="shared" si="18"/>
        <v>Y</v>
      </c>
    </row>
    <row r="318" spans="1:21" customFormat="1" x14ac:dyDescent="0.25">
      <c r="A318" t="s">
        <v>237</v>
      </c>
      <c r="B318" s="16"/>
      <c r="C318" s="16"/>
      <c r="D318" s="16"/>
      <c r="E318" s="16"/>
      <c r="F318" s="17">
        <v>-76.276191999999995</v>
      </c>
      <c r="G318" s="17">
        <v>42.789648999999997</v>
      </c>
      <c r="H318">
        <v>29</v>
      </c>
      <c r="I318" t="s">
        <v>377</v>
      </c>
      <c r="J318" t="s">
        <v>360</v>
      </c>
      <c r="T318">
        <v>140</v>
      </c>
      <c r="U318" s="14" t="str">
        <f t="shared" si="18"/>
        <v/>
      </c>
    </row>
    <row r="319" spans="1:21" customFormat="1" x14ac:dyDescent="0.25">
      <c r="A319" t="s">
        <v>238</v>
      </c>
      <c r="B319" s="16"/>
      <c r="C319" s="16"/>
      <c r="D319" s="16"/>
      <c r="E319" s="16"/>
      <c r="F319" s="17">
        <v>-76.293389000000005</v>
      </c>
      <c r="G319" s="17">
        <v>42.795620999999997</v>
      </c>
      <c r="H319">
        <v>58</v>
      </c>
      <c r="I319" t="s">
        <v>377</v>
      </c>
      <c r="J319" t="s">
        <v>359</v>
      </c>
      <c r="T319">
        <v>75</v>
      </c>
      <c r="U319" s="14" t="str">
        <f t="shared" si="18"/>
        <v/>
      </c>
    </row>
    <row r="320" spans="1:21" customFormat="1" x14ac:dyDescent="0.25">
      <c r="A320" t="s">
        <v>239</v>
      </c>
      <c r="B320" s="16"/>
      <c r="C320" s="16"/>
      <c r="D320" s="16"/>
      <c r="E320" s="16"/>
      <c r="F320" s="17">
        <v>-76.293299000000005</v>
      </c>
      <c r="G320" s="17">
        <v>42.796044999999999</v>
      </c>
      <c r="H320">
        <v>70</v>
      </c>
      <c r="I320" t="s">
        <v>377</v>
      </c>
      <c r="J320" t="s">
        <v>359</v>
      </c>
      <c r="T320">
        <v>67</v>
      </c>
      <c r="U320" s="14" t="str">
        <f t="shared" si="18"/>
        <v/>
      </c>
    </row>
    <row r="321" spans="1:21" customFormat="1" x14ac:dyDescent="0.25">
      <c r="A321" t="s">
        <v>240</v>
      </c>
      <c r="B321" s="16"/>
      <c r="C321" s="16"/>
      <c r="D321" s="16"/>
      <c r="E321" s="16"/>
      <c r="F321" s="17">
        <v>-76.293299000000005</v>
      </c>
      <c r="G321" s="17">
        <v>42.796044999999999</v>
      </c>
      <c r="H321">
        <v>70</v>
      </c>
      <c r="I321" t="s">
        <v>377</v>
      </c>
      <c r="J321" t="s">
        <v>360</v>
      </c>
      <c r="T321">
        <v>119</v>
      </c>
      <c r="U321" s="14" t="str">
        <f t="shared" si="18"/>
        <v/>
      </c>
    </row>
    <row r="322" spans="1:21" customFormat="1" x14ac:dyDescent="0.25">
      <c r="A322" t="s">
        <v>241</v>
      </c>
      <c r="B322" s="16"/>
      <c r="C322" s="16"/>
      <c r="D322" s="16"/>
      <c r="E322" s="16"/>
      <c r="F322" s="17">
        <v>-76.289242999999999</v>
      </c>
      <c r="G322" s="17">
        <v>42.797849999999997</v>
      </c>
      <c r="H322">
        <v>75</v>
      </c>
      <c r="I322" t="s">
        <v>377</v>
      </c>
      <c r="J322" t="s">
        <v>359</v>
      </c>
      <c r="T322">
        <v>4</v>
      </c>
      <c r="U322" s="14" t="str">
        <f t="shared" si="18"/>
        <v/>
      </c>
    </row>
    <row r="323" spans="1:21" customFormat="1" x14ac:dyDescent="0.25">
      <c r="A323" t="s">
        <v>242</v>
      </c>
      <c r="B323" s="16"/>
      <c r="C323" s="16"/>
      <c r="D323" s="16"/>
      <c r="E323" s="16"/>
      <c r="F323" s="17">
        <v>-76.290477999999993</v>
      </c>
      <c r="G323" s="17">
        <v>42.797367000000001</v>
      </c>
      <c r="H323">
        <v>75</v>
      </c>
      <c r="I323" t="s">
        <v>377</v>
      </c>
      <c r="J323" t="s">
        <v>359</v>
      </c>
      <c r="T323">
        <v>9</v>
      </c>
      <c r="U323" s="14" t="str">
        <f t="shared" ref="U323:U335" si="20">IF(OR(Q323&lt;&gt;"", M323&lt;&gt;""), "Y", "")</f>
        <v/>
      </c>
    </row>
    <row r="324" spans="1:21" customFormat="1" x14ac:dyDescent="0.25">
      <c r="A324" t="s">
        <v>75</v>
      </c>
      <c r="B324" s="16"/>
      <c r="C324" s="16"/>
      <c r="D324" s="16"/>
      <c r="E324" s="16"/>
      <c r="F324" s="17">
        <v>-76.339309</v>
      </c>
      <c r="G324" s="17">
        <v>42.844890999999997</v>
      </c>
      <c r="H324">
        <v>3</v>
      </c>
      <c r="I324" t="s">
        <v>367</v>
      </c>
      <c r="J324" t="s">
        <v>359</v>
      </c>
      <c r="K324">
        <v>936</v>
      </c>
      <c r="L324">
        <v>400</v>
      </c>
      <c r="M324">
        <v>2</v>
      </c>
      <c r="N324" t="s">
        <v>352</v>
      </c>
      <c r="O324" t="s">
        <v>355</v>
      </c>
      <c r="U324" s="14" t="str">
        <f t="shared" si="20"/>
        <v>Y</v>
      </c>
    </row>
    <row r="325" spans="1:21" customFormat="1" x14ac:dyDescent="0.25">
      <c r="A325" t="s">
        <v>76</v>
      </c>
      <c r="B325" s="16"/>
      <c r="C325" s="16"/>
      <c r="D325" s="16"/>
      <c r="E325" s="16"/>
      <c r="F325" s="17">
        <v>-76.339421999999999</v>
      </c>
      <c r="G325" s="17">
        <v>42.844769999999997</v>
      </c>
      <c r="H325">
        <v>4</v>
      </c>
      <c r="I325" t="s">
        <v>367</v>
      </c>
      <c r="J325" t="s">
        <v>359</v>
      </c>
      <c r="K325">
        <v>695</v>
      </c>
      <c r="L325">
        <v>238</v>
      </c>
      <c r="M325">
        <v>2</v>
      </c>
      <c r="N325" t="s">
        <v>352</v>
      </c>
      <c r="O325" t="s">
        <v>355</v>
      </c>
      <c r="U325" s="14" t="str">
        <f t="shared" si="20"/>
        <v>Y</v>
      </c>
    </row>
    <row r="326" spans="1:21" customFormat="1" x14ac:dyDescent="0.25">
      <c r="A326" t="s">
        <v>77</v>
      </c>
      <c r="B326" s="16"/>
      <c r="C326" s="16"/>
      <c r="D326" s="16"/>
      <c r="E326" s="16"/>
      <c r="F326" s="17">
        <v>-76.339545000000001</v>
      </c>
      <c r="G326" s="17">
        <v>42.844698000000001</v>
      </c>
      <c r="H326">
        <v>5</v>
      </c>
      <c r="I326" t="s">
        <v>367</v>
      </c>
      <c r="J326" t="s">
        <v>359</v>
      </c>
      <c r="K326">
        <v>764</v>
      </c>
      <c r="L326">
        <v>263</v>
      </c>
      <c r="M326">
        <v>2</v>
      </c>
      <c r="N326" t="s">
        <v>352</v>
      </c>
      <c r="O326" t="s">
        <v>355</v>
      </c>
      <c r="U326" s="14" t="str">
        <f t="shared" si="20"/>
        <v>Y</v>
      </c>
    </row>
    <row r="327" spans="1:21" customFormat="1" x14ac:dyDescent="0.25">
      <c r="A327" t="s">
        <v>78</v>
      </c>
      <c r="B327" s="16"/>
      <c r="C327" s="16"/>
      <c r="D327" s="16"/>
      <c r="E327" s="16"/>
      <c r="F327" s="17">
        <v>-76.339646000000002</v>
      </c>
      <c r="G327" s="17">
        <v>42.844630000000002</v>
      </c>
      <c r="H327">
        <v>7</v>
      </c>
      <c r="I327" t="s">
        <v>367</v>
      </c>
      <c r="J327" t="s">
        <v>359</v>
      </c>
      <c r="K327">
        <v>944</v>
      </c>
      <c r="L327">
        <v>409</v>
      </c>
      <c r="M327">
        <v>2</v>
      </c>
      <c r="N327" t="s">
        <v>352</v>
      </c>
      <c r="O327" t="s">
        <v>355</v>
      </c>
      <c r="U327" s="14" t="str">
        <f t="shared" si="20"/>
        <v>Y</v>
      </c>
    </row>
    <row r="328" spans="1:21" customFormat="1" x14ac:dyDescent="0.25">
      <c r="A328" t="s">
        <v>79</v>
      </c>
      <c r="B328" s="16"/>
      <c r="C328" s="16"/>
      <c r="D328" s="16"/>
      <c r="E328" s="16"/>
      <c r="F328" s="17">
        <v>-76.339769000000004</v>
      </c>
      <c r="G328" s="17">
        <v>42.844562000000003</v>
      </c>
      <c r="H328">
        <v>8</v>
      </c>
      <c r="I328" t="s">
        <v>367</v>
      </c>
      <c r="J328" t="s">
        <v>359</v>
      </c>
      <c r="K328">
        <v>351</v>
      </c>
      <c r="L328">
        <v>357</v>
      </c>
      <c r="M328">
        <v>2</v>
      </c>
      <c r="N328" t="s">
        <v>352</v>
      </c>
      <c r="O328" t="s">
        <v>355</v>
      </c>
      <c r="U328" s="14" t="str">
        <f t="shared" si="20"/>
        <v>Y</v>
      </c>
    </row>
    <row r="329" spans="1:21" customFormat="1" x14ac:dyDescent="0.25">
      <c r="A329" t="s">
        <v>80</v>
      </c>
      <c r="B329" s="16"/>
      <c r="C329" s="16"/>
      <c r="D329" s="16"/>
      <c r="E329" s="16"/>
      <c r="F329" s="17">
        <v>-76.339905000000002</v>
      </c>
      <c r="G329" s="17">
        <v>42.844484999999999</v>
      </c>
      <c r="H329">
        <v>10</v>
      </c>
      <c r="I329" t="s">
        <v>367</v>
      </c>
      <c r="J329" t="s">
        <v>359</v>
      </c>
      <c r="K329">
        <v>504</v>
      </c>
      <c r="L329">
        <v>455</v>
      </c>
      <c r="M329">
        <v>2</v>
      </c>
      <c r="N329" t="s">
        <v>352</v>
      </c>
      <c r="O329" t="s">
        <v>355</v>
      </c>
      <c r="U329" s="14" t="str">
        <f t="shared" si="20"/>
        <v>Y</v>
      </c>
    </row>
    <row r="330" spans="1:21" customFormat="1" x14ac:dyDescent="0.25">
      <c r="A330" t="s">
        <v>81</v>
      </c>
      <c r="B330" s="16"/>
      <c r="C330" s="16"/>
      <c r="D330" s="16"/>
      <c r="E330" s="16"/>
      <c r="F330" s="17">
        <v>-76.339264</v>
      </c>
      <c r="G330" s="17">
        <v>42.844025000000002</v>
      </c>
      <c r="H330">
        <v>8</v>
      </c>
      <c r="I330" t="s">
        <v>368</v>
      </c>
      <c r="J330" t="s">
        <v>359</v>
      </c>
      <c r="K330">
        <v>581</v>
      </c>
      <c r="L330">
        <v>389</v>
      </c>
      <c r="M330">
        <v>2</v>
      </c>
      <c r="N330" t="s">
        <v>352</v>
      </c>
      <c r="O330" t="s">
        <v>355</v>
      </c>
      <c r="U330" s="14" t="str">
        <f t="shared" si="20"/>
        <v>Y</v>
      </c>
    </row>
    <row r="331" spans="1:21" customFormat="1" x14ac:dyDescent="0.25">
      <c r="A331" t="s">
        <v>82</v>
      </c>
      <c r="B331" s="16"/>
      <c r="C331" s="16"/>
      <c r="D331" s="16"/>
      <c r="E331" s="16"/>
      <c r="F331" s="17">
        <v>-76.339420000000004</v>
      </c>
      <c r="G331" s="17">
        <v>42.843927000000001</v>
      </c>
      <c r="H331">
        <v>9</v>
      </c>
      <c r="I331" t="s">
        <v>368</v>
      </c>
      <c r="J331" t="s">
        <v>359</v>
      </c>
      <c r="K331">
        <v>988</v>
      </c>
      <c r="L331">
        <v>366</v>
      </c>
      <c r="M331">
        <v>2</v>
      </c>
      <c r="N331" t="s">
        <v>352</v>
      </c>
      <c r="O331" t="s">
        <v>355</v>
      </c>
      <c r="U331" s="14" t="str">
        <f t="shared" si="20"/>
        <v>Y</v>
      </c>
    </row>
    <row r="332" spans="1:21" customFormat="1" x14ac:dyDescent="0.25">
      <c r="A332" t="s">
        <v>83</v>
      </c>
      <c r="B332" s="16"/>
      <c r="C332" s="16"/>
      <c r="D332" s="16"/>
      <c r="E332" s="16"/>
      <c r="F332" s="17">
        <v>-76.339583000000005</v>
      </c>
      <c r="G332" s="17">
        <v>42.843837000000001</v>
      </c>
      <c r="H332">
        <v>10</v>
      </c>
      <c r="I332" t="s">
        <v>368</v>
      </c>
      <c r="J332" t="s">
        <v>359</v>
      </c>
      <c r="K332">
        <v>1030</v>
      </c>
      <c r="L332">
        <v>536</v>
      </c>
      <c r="M332">
        <v>2</v>
      </c>
      <c r="N332" t="s">
        <v>352</v>
      </c>
      <c r="O332" t="s">
        <v>355</v>
      </c>
      <c r="U332" s="14" t="str">
        <f t="shared" si="20"/>
        <v>Y</v>
      </c>
    </row>
    <row r="333" spans="1:21" customFormat="1" x14ac:dyDescent="0.25">
      <c r="A333" t="s">
        <v>84</v>
      </c>
      <c r="B333" s="16"/>
      <c r="C333" s="16"/>
      <c r="D333" s="16"/>
      <c r="E333" s="16"/>
      <c r="F333" s="17">
        <v>-76.339583000000005</v>
      </c>
      <c r="G333" s="17">
        <v>42.843837000000001</v>
      </c>
      <c r="H333">
        <v>10</v>
      </c>
      <c r="I333" t="s">
        <v>368</v>
      </c>
      <c r="J333" t="s">
        <v>360</v>
      </c>
      <c r="K333">
        <v>843</v>
      </c>
      <c r="L333">
        <v>456</v>
      </c>
      <c r="M333">
        <v>2</v>
      </c>
      <c r="N333" t="s">
        <v>352</v>
      </c>
      <c r="O333" t="s">
        <v>355</v>
      </c>
      <c r="U333" s="14" t="str">
        <f t="shared" si="20"/>
        <v>Y</v>
      </c>
    </row>
    <row r="334" spans="1:21" customFormat="1" x14ac:dyDescent="0.25">
      <c r="A334" t="s">
        <v>85</v>
      </c>
      <c r="B334" s="16"/>
      <c r="C334" s="16"/>
      <c r="D334" s="16"/>
      <c r="E334" s="16"/>
      <c r="F334" s="17">
        <v>-76.339121000000006</v>
      </c>
      <c r="G334" s="17">
        <v>42.844273000000001</v>
      </c>
      <c r="H334">
        <v>11</v>
      </c>
      <c r="I334" t="s">
        <v>368</v>
      </c>
      <c r="J334" t="s">
        <v>359</v>
      </c>
      <c r="K334">
        <v>743</v>
      </c>
      <c r="L334">
        <v>504</v>
      </c>
      <c r="M334">
        <v>2</v>
      </c>
      <c r="N334" t="s">
        <v>352</v>
      </c>
      <c r="O334" t="s">
        <v>355</v>
      </c>
      <c r="U334" s="14" t="str">
        <f t="shared" si="20"/>
        <v>Y</v>
      </c>
    </row>
    <row r="335" spans="1:21" customFormat="1" x14ac:dyDescent="0.25">
      <c r="A335" t="s">
        <v>86</v>
      </c>
      <c r="B335" s="16"/>
      <c r="C335" s="16"/>
      <c r="D335" s="16"/>
      <c r="E335" s="16"/>
      <c r="F335" s="17">
        <v>-76.339678000000006</v>
      </c>
      <c r="G335" s="17">
        <v>42.843781999999997</v>
      </c>
      <c r="H335">
        <v>12</v>
      </c>
      <c r="I335" t="s">
        <v>368</v>
      </c>
      <c r="J335" t="s">
        <v>359</v>
      </c>
      <c r="K335">
        <v>736</v>
      </c>
      <c r="L335">
        <v>399</v>
      </c>
      <c r="M335">
        <v>2</v>
      </c>
      <c r="N335" t="s">
        <v>352</v>
      </c>
      <c r="O335" t="s">
        <v>355</v>
      </c>
      <c r="U335" s="14" t="str">
        <f t="shared" si="20"/>
        <v>Y</v>
      </c>
    </row>
  </sheetData>
  <sortState ref="A2:R338">
    <sortCondition ref="A2:A3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"/>
  <sheetViews>
    <sheetView workbookViewId="0">
      <pane ySplit="1" topLeftCell="A2" activePane="bottomLeft" state="frozen"/>
      <selection pane="bottomLeft" activeCell="A2" sqref="A2"/>
    </sheetView>
  </sheetViews>
  <sheetFormatPr defaultColWidth="11.42578125" defaultRowHeight="15" x14ac:dyDescent="0.25"/>
  <cols>
    <col min="5" max="5" width="14" bestFit="1" customWidth="1"/>
    <col min="6" max="6" width="19.7109375" bestFit="1" customWidth="1"/>
    <col min="7" max="7" width="17" bestFit="1" customWidth="1"/>
    <col min="8" max="8" width="19.85546875" bestFit="1" customWidth="1"/>
    <col min="9" max="9" width="17.42578125" bestFit="1" customWidth="1"/>
    <col min="10" max="10" width="20.140625" bestFit="1" customWidth="1"/>
    <col min="11" max="11" width="6.85546875" bestFit="1" customWidth="1"/>
  </cols>
  <sheetData>
    <row r="1" spans="1:11" x14ac:dyDescent="0.25">
      <c r="A1" t="s">
        <v>0</v>
      </c>
      <c r="B1" t="s">
        <v>341</v>
      </c>
      <c r="C1" t="s">
        <v>343</v>
      </c>
      <c r="D1" t="s">
        <v>342</v>
      </c>
      <c r="E1" t="s">
        <v>344</v>
      </c>
      <c r="F1" t="s">
        <v>345</v>
      </c>
      <c r="G1" t="s">
        <v>1</v>
      </c>
      <c r="H1" t="s">
        <v>346</v>
      </c>
      <c r="I1" t="s">
        <v>2</v>
      </c>
      <c r="J1" t="s">
        <v>347</v>
      </c>
      <c r="K1" t="s">
        <v>3</v>
      </c>
    </row>
    <row r="2" spans="1:11" x14ac:dyDescent="0.25">
      <c r="A2" t="s">
        <v>4</v>
      </c>
      <c r="B2">
        <f>MID(A2,4,2)+0</f>
        <v>3</v>
      </c>
      <c r="C2" t="str">
        <f>LEFT(A2,2)</f>
        <v>01</v>
      </c>
      <c r="D2" t="str">
        <f>RIGHT(A2)</f>
        <v>A</v>
      </c>
      <c r="F2">
        <v>196</v>
      </c>
      <c r="G2">
        <v>17</v>
      </c>
      <c r="H2" s="2">
        <v>0</v>
      </c>
      <c r="K2">
        <v>27</v>
      </c>
    </row>
    <row r="3" spans="1:11" x14ac:dyDescent="0.25">
      <c r="A3" t="s">
        <v>5</v>
      </c>
      <c r="B3">
        <f t="shared" ref="B3:B66" si="0">MID(A3,4,2)+0</f>
        <v>3</v>
      </c>
      <c r="C3" t="str">
        <f t="shared" ref="C3:C66" si="1">LEFT(A3,2)</f>
        <v>01</v>
      </c>
      <c r="D3" t="str">
        <f t="shared" ref="D3:D66" si="2">RIGHT(A3)</f>
        <v>B</v>
      </c>
      <c r="F3">
        <v>206</v>
      </c>
      <c r="G3">
        <v>16</v>
      </c>
      <c r="H3" s="2">
        <v>0</v>
      </c>
      <c r="K3">
        <v>89</v>
      </c>
    </row>
    <row r="4" spans="1:11" x14ac:dyDescent="0.25">
      <c r="A4" t="s">
        <v>6</v>
      </c>
      <c r="B4">
        <f t="shared" si="0"/>
        <v>5</v>
      </c>
      <c r="C4" t="str">
        <f t="shared" si="1"/>
        <v>01</v>
      </c>
      <c r="D4" t="str">
        <f t="shared" si="2"/>
        <v>A</v>
      </c>
      <c r="F4">
        <v>63</v>
      </c>
      <c r="G4">
        <v>234</v>
      </c>
      <c r="H4" s="2">
        <v>1</v>
      </c>
      <c r="K4">
        <v>11</v>
      </c>
    </row>
    <row r="5" spans="1:11" x14ac:dyDescent="0.25">
      <c r="A5" t="s">
        <v>7</v>
      </c>
      <c r="B5">
        <f t="shared" si="0"/>
        <v>5</v>
      </c>
      <c r="C5" t="str">
        <f t="shared" si="1"/>
        <v>01</v>
      </c>
      <c r="D5" t="str">
        <f t="shared" si="2"/>
        <v>A</v>
      </c>
      <c r="F5">
        <v>350</v>
      </c>
      <c r="G5">
        <v>124</v>
      </c>
      <c r="H5" s="2">
        <v>1</v>
      </c>
      <c r="K5">
        <v>48</v>
      </c>
    </row>
    <row r="6" spans="1:11" x14ac:dyDescent="0.25">
      <c r="A6" t="s">
        <v>8</v>
      </c>
      <c r="B6">
        <f t="shared" si="0"/>
        <v>5</v>
      </c>
      <c r="C6" t="str">
        <f t="shared" si="1"/>
        <v>01</v>
      </c>
      <c r="D6" t="str">
        <f t="shared" si="2"/>
        <v>B</v>
      </c>
      <c r="F6">
        <v>219</v>
      </c>
      <c r="G6">
        <v>0</v>
      </c>
      <c r="H6" s="2">
        <v>0</v>
      </c>
      <c r="K6">
        <v>71</v>
      </c>
    </row>
    <row r="7" spans="1:11" x14ac:dyDescent="0.25">
      <c r="A7" t="s">
        <v>9</v>
      </c>
      <c r="B7">
        <f t="shared" si="0"/>
        <v>6</v>
      </c>
      <c r="C7" t="str">
        <f t="shared" si="1"/>
        <v>01</v>
      </c>
      <c r="D7" t="str">
        <f t="shared" si="2"/>
        <v>A</v>
      </c>
      <c r="F7">
        <v>160</v>
      </c>
      <c r="G7">
        <v>186</v>
      </c>
      <c r="H7" s="2">
        <v>2</v>
      </c>
      <c r="K7">
        <v>191</v>
      </c>
    </row>
    <row r="8" spans="1:11" x14ac:dyDescent="0.25">
      <c r="A8" t="s">
        <v>10</v>
      </c>
      <c r="B8">
        <f t="shared" si="0"/>
        <v>2</v>
      </c>
      <c r="C8" t="str">
        <f t="shared" si="1"/>
        <v>03</v>
      </c>
      <c r="D8" t="str">
        <f t="shared" si="2"/>
        <v>A</v>
      </c>
      <c r="F8">
        <v>408</v>
      </c>
      <c r="G8">
        <v>333</v>
      </c>
      <c r="H8" s="2">
        <v>1</v>
      </c>
      <c r="K8">
        <v>80</v>
      </c>
    </row>
    <row r="9" spans="1:11" x14ac:dyDescent="0.25">
      <c r="A9" t="s">
        <v>11</v>
      </c>
      <c r="B9">
        <f t="shared" si="0"/>
        <v>1</v>
      </c>
      <c r="C9" t="str">
        <f t="shared" si="1"/>
        <v>03</v>
      </c>
      <c r="D9" t="str">
        <f t="shared" si="2"/>
        <v>A</v>
      </c>
      <c r="F9">
        <v>43</v>
      </c>
      <c r="G9">
        <v>31</v>
      </c>
      <c r="H9" s="2">
        <v>0</v>
      </c>
    </row>
    <row r="10" spans="1:11" x14ac:dyDescent="0.25">
      <c r="A10" t="s">
        <v>12</v>
      </c>
      <c r="B10">
        <f t="shared" si="0"/>
        <v>2</v>
      </c>
      <c r="C10" t="str">
        <f t="shared" si="1"/>
        <v>03</v>
      </c>
      <c r="D10" t="str">
        <f t="shared" si="2"/>
        <v>A</v>
      </c>
      <c r="F10">
        <v>85</v>
      </c>
      <c r="G10">
        <v>77</v>
      </c>
      <c r="H10" s="2">
        <v>2</v>
      </c>
      <c r="I10">
        <v>0</v>
      </c>
      <c r="K10">
        <v>9</v>
      </c>
    </row>
    <row r="11" spans="1:11" x14ac:dyDescent="0.25">
      <c r="A11" t="s">
        <v>13</v>
      </c>
      <c r="B11">
        <f t="shared" si="0"/>
        <v>2</v>
      </c>
      <c r="C11" t="str">
        <f t="shared" si="1"/>
        <v>03</v>
      </c>
      <c r="D11" t="str">
        <f t="shared" si="2"/>
        <v>B</v>
      </c>
      <c r="F11">
        <v>5</v>
      </c>
      <c r="G11">
        <v>10</v>
      </c>
      <c r="H11" s="2">
        <v>1</v>
      </c>
      <c r="I11">
        <v>0</v>
      </c>
    </row>
    <row r="12" spans="1:11" x14ac:dyDescent="0.25">
      <c r="A12" t="s">
        <v>14</v>
      </c>
      <c r="B12">
        <f t="shared" si="0"/>
        <v>3</v>
      </c>
      <c r="C12" t="str">
        <f t="shared" si="1"/>
        <v>03</v>
      </c>
      <c r="D12" t="str">
        <f t="shared" si="2"/>
        <v>A</v>
      </c>
      <c r="F12">
        <v>326</v>
      </c>
      <c r="G12">
        <v>0</v>
      </c>
      <c r="H12" s="2">
        <v>0</v>
      </c>
      <c r="K12">
        <v>24</v>
      </c>
    </row>
    <row r="13" spans="1:11" x14ac:dyDescent="0.25">
      <c r="A13" t="s">
        <v>15</v>
      </c>
      <c r="B13">
        <f t="shared" si="0"/>
        <v>3</v>
      </c>
      <c r="C13" t="str">
        <f t="shared" si="1"/>
        <v>03</v>
      </c>
      <c r="D13" t="str">
        <f t="shared" si="2"/>
        <v>A</v>
      </c>
      <c r="F13">
        <v>55</v>
      </c>
      <c r="G13">
        <v>44</v>
      </c>
      <c r="H13" s="2">
        <v>0</v>
      </c>
      <c r="I13">
        <v>0</v>
      </c>
      <c r="K13">
        <v>75</v>
      </c>
    </row>
    <row r="14" spans="1:11" x14ac:dyDescent="0.25">
      <c r="A14" t="s">
        <v>16</v>
      </c>
      <c r="B14">
        <f t="shared" si="0"/>
        <v>3</v>
      </c>
      <c r="C14" t="str">
        <f t="shared" si="1"/>
        <v>03</v>
      </c>
      <c r="D14" t="str">
        <f t="shared" si="2"/>
        <v>B</v>
      </c>
      <c r="F14">
        <v>98</v>
      </c>
      <c r="G14">
        <v>106</v>
      </c>
      <c r="H14" s="2">
        <v>1</v>
      </c>
      <c r="I14">
        <v>0</v>
      </c>
    </row>
    <row r="15" spans="1:11" x14ac:dyDescent="0.25">
      <c r="A15" t="s">
        <v>17</v>
      </c>
      <c r="B15">
        <f t="shared" si="0"/>
        <v>4</v>
      </c>
      <c r="C15" t="str">
        <f t="shared" si="1"/>
        <v>03</v>
      </c>
      <c r="D15" t="str">
        <f t="shared" si="2"/>
        <v>A</v>
      </c>
      <c r="F15">
        <v>246</v>
      </c>
      <c r="G15">
        <v>386</v>
      </c>
      <c r="H15" s="2">
        <v>2</v>
      </c>
    </row>
    <row r="16" spans="1:11" x14ac:dyDescent="0.25">
      <c r="A16" t="s">
        <v>18</v>
      </c>
      <c r="B16">
        <f t="shared" si="0"/>
        <v>5</v>
      </c>
      <c r="C16" t="str">
        <f t="shared" si="1"/>
        <v>03</v>
      </c>
      <c r="D16" t="str">
        <f t="shared" si="2"/>
        <v>A</v>
      </c>
      <c r="F16">
        <v>312</v>
      </c>
      <c r="G16">
        <v>1</v>
      </c>
      <c r="H16" s="2">
        <v>0</v>
      </c>
      <c r="K16">
        <v>312</v>
      </c>
    </row>
    <row r="17" spans="1:11" x14ac:dyDescent="0.25">
      <c r="A17" t="s">
        <v>19</v>
      </c>
      <c r="B17">
        <f t="shared" si="0"/>
        <v>5</v>
      </c>
      <c r="C17" t="str">
        <f t="shared" si="1"/>
        <v>03</v>
      </c>
      <c r="D17" t="str">
        <f t="shared" si="2"/>
        <v>A</v>
      </c>
      <c r="F17">
        <v>190</v>
      </c>
      <c r="G17">
        <v>177</v>
      </c>
      <c r="H17" s="2">
        <v>1</v>
      </c>
      <c r="I17">
        <v>0</v>
      </c>
      <c r="K17">
        <v>779</v>
      </c>
    </row>
    <row r="18" spans="1:11" x14ac:dyDescent="0.25">
      <c r="A18" t="s">
        <v>20</v>
      </c>
      <c r="B18">
        <f t="shared" si="0"/>
        <v>5</v>
      </c>
      <c r="C18" t="str">
        <f t="shared" si="1"/>
        <v>03</v>
      </c>
      <c r="D18" t="str">
        <f t="shared" si="2"/>
        <v>B</v>
      </c>
      <c r="F18">
        <v>230</v>
      </c>
      <c r="G18">
        <v>63</v>
      </c>
      <c r="H18" s="2">
        <v>1</v>
      </c>
      <c r="I18">
        <v>0</v>
      </c>
    </row>
    <row r="19" spans="1:11" x14ac:dyDescent="0.25">
      <c r="A19" t="s">
        <v>21</v>
      </c>
      <c r="B19">
        <f t="shared" si="0"/>
        <v>8</v>
      </c>
      <c r="C19" t="str">
        <f t="shared" si="1"/>
        <v>03</v>
      </c>
      <c r="D19" t="str">
        <f t="shared" si="2"/>
        <v>A</v>
      </c>
      <c r="F19">
        <v>194</v>
      </c>
      <c r="G19">
        <v>0</v>
      </c>
      <c r="H19" s="2">
        <v>0</v>
      </c>
      <c r="K19">
        <v>234</v>
      </c>
    </row>
    <row r="20" spans="1:11" x14ac:dyDescent="0.25">
      <c r="A20" t="s">
        <v>22</v>
      </c>
      <c r="B20">
        <f t="shared" si="0"/>
        <v>8</v>
      </c>
      <c r="C20" t="str">
        <f t="shared" si="1"/>
        <v>03</v>
      </c>
      <c r="D20" t="str">
        <f t="shared" si="2"/>
        <v>B</v>
      </c>
      <c r="F20">
        <v>170</v>
      </c>
      <c r="G20">
        <v>0</v>
      </c>
      <c r="H20" s="2">
        <v>0</v>
      </c>
      <c r="K20">
        <v>405</v>
      </c>
    </row>
    <row r="21" spans="1:11" x14ac:dyDescent="0.25">
      <c r="A21" t="s">
        <v>23</v>
      </c>
      <c r="B21">
        <f t="shared" si="0"/>
        <v>8</v>
      </c>
      <c r="C21" t="str">
        <f t="shared" si="1"/>
        <v>03</v>
      </c>
      <c r="D21" t="str">
        <f t="shared" si="2"/>
        <v>A</v>
      </c>
      <c r="F21">
        <v>128</v>
      </c>
      <c r="G21">
        <v>237</v>
      </c>
      <c r="H21" s="2">
        <v>1</v>
      </c>
    </row>
    <row r="22" spans="1:11" x14ac:dyDescent="0.25">
      <c r="A22" t="s">
        <v>24</v>
      </c>
      <c r="B22">
        <f t="shared" si="0"/>
        <v>11</v>
      </c>
      <c r="C22" t="str">
        <f t="shared" si="1"/>
        <v>03</v>
      </c>
      <c r="D22" t="str">
        <f t="shared" si="2"/>
        <v>A</v>
      </c>
      <c r="F22">
        <v>684</v>
      </c>
      <c r="G22">
        <v>575</v>
      </c>
      <c r="H22" s="2">
        <v>1</v>
      </c>
      <c r="K22">
        <v>313</v>
      </c>
    </row>
    <row r="23" spans="1:11" x14ac:dyDescent="0.25">
      <c r="A23" t="s">
        <v>25</v>
      </c>
      <c r="B23">
        <f t="shared" si="0"/>
        <v>11</v>
      </c>
      <c r="C23" t="str">
        <f t="shared" si="1"/>
        <v>03</v>
      </c>
      <c r="D23" t="str">
        <f t="shared" si="2"/>
        <v>A</v>
      </c>
      <c r="F23">
        <v>295</v>
      </c>
      <c r="G23">
        <v>526</v>
      </c>
      <c r="H23" s="2">
        <v>2</v>
      </c>
      <c r="I23">
        <v>217</v>
      </c>
      <c r="K23">
        <v>211</v>
      </c>
    </row>
    <row r="24" spans="1:11" x14ac:dyDescent="0.25">
      <c r="A24" t="s">
        <v>26</v>
      </c>
      <c r="B24">
        <f t="shared" si="0"/>
        <v>11</v>
      </c>
      <c r="C24" t="str">
        <f t="shared" si="1"/>
        <v>03</v>
      </c>
      <c r="D24" t="str">
        <f t="shared" si="2"/>
        <v>B</v>
      </c>
      <c r="F24">
        <v>312</v>
      </c>
      <c r="G24">
        <v>525</v>
      </c>
      <c r="H24" s="2">
        <v>1</v>
      </c>
      <c r="I24">
        <v>234</v>
      </c>
    </row>
    <row r="25" spans="1:11" x14ac:dyDescent="0.25">
      <c r="A25" t="s">
        <v>27</v>
      </c>
      <c r="B25">
        <f t="shared" si="0"/>
        <v>14</v>
      </c>
      <c r="C25" t="str">
        <f t="shared" si="1"/>
        <v>03</v>
      </c>
      <c r="D25" t="str">
        <f t="shared" si="2"/>
        <v>A</v>
      </c>
      <c r="F25">
        <v>244</v>
      </c>
      <c r="G25">
        <v>394</v>
      </c>
      <c r="H25" s="2">
        <v>2</v>
      </c>
      <c r="K25">
        <v>193</v>
      </c>
    </row>
    <row r="26" spans="1:11" x14ac:dyDescent="0.25">
      <c r="A26" t="s">
        <v>28</v>
      </c>
      <c r="B26">
        <f t="shared" si="0"/>
        <v>14</v>
      </c>
      <c r="C26" t="str">
        <f t="shared" si="1"/>
        <v>03</v>
      </c>
      <c r="D26" t="str">
        <f t="shared" si="2"/>
        <v>A</v>
      </c>
      <c r="F26">
        <v>336</v>
      </c>
      <c r="G26">
        <v>144</v>
      </c>
      <c r="H26" s="2">
        <v>1</v>
      </c>
      <c r="I26">
        <v>221</v>
      </c>
    </row>
    <row r="27" spans="1:11" x14ac:dyDescent="0.25">
      <c r="A27" t="s">
        <v>29</v>
      </c>
      <c r="B27">
        <f t="shared" si="0"/>
        <v>14</v>
      </c>
      <c r="C27" t="str">
        <f t="shared" si="1"/>
        <v>03</v>
      </c>
      <c r="D27" t="str">
        <f t="shared" si="2"/>
        <v>B</v>
      </c>
      <c r="F27">
        <v>171</v>
      </c>
      <c r="G27">
        <v>356</v>
      </c>
      <c r="H27" s="2">
        <v>1</v>
      </c>
      <c r="I27">
        <v>119</v>
      </c>
      <c r="K27">
        <v>127</v>
      </c>
    </row>
    <row r="28" spans="1:11" x14ac:dyDescent="0.25">
      <c r="A28" t="s">
        <v>30</v>
      </c>
      <c r="B28">
        <f t="shared" si="0"/>
        <v>17</v>
      </c>
      <c r="C28" t="str">
        <f t="shared" si="1"/>
        <v>03</v>
      </c>
      <c r="D28" t="str">
        <f t="shared" si="2"/>
        <v>A</v>
      </c>
      <c r="F28">
        <v>1481</v>
      </c>
      <c r="G28">
        <v>642</v>
      </c>
      <c r="H28" s="2">
        <v>1</v>
      </c>
      <c r="K28">
        <v>377</v>
      </c>
    </row>
    <row r="29" spans="1:11" x14ac:dyDescent="0.25">
      <c r="A29" t="s">
        <v>31</v>
      </c>
      <c r="B29">
        <f t="shared" si="0"/>
        <v>5</v>
      </c>
      <c r="C29" t="str">
        <f t="shared" si="1"/>
        <v>04</v>
      </c>
      <c r="D29" t="str">
        <f t="shared" si="2"/>
        <v>A</v>
      </c>
      <c r="F29">
        <v>16</v>
      </c>
      <c r="H29" s="2">
        <v>0</v>
      </c>
      <c r="I29">
        <v>0</v>
      </c>
      <c r="K29">
        <v>186</v>
      </c>
    </row>
    <row r="30" spans="1:11" x14ac:dyDescent="0.25">
      <c r="A30" t="s">
        <v>32</v>
      </c>
      <c r="B30">
        <f t="shared" si="0"/>
        <v>5</v>
      </c>
      <c r="C30" t="str">
        <f t="shared" si="1"/>
        <v>04</v>
      </c>
      <c r="D30" t="str">
        <f t="shared" si="2"/>
        <v>B</v>
      </c>
      <c r="F30">
        <v>54</v>
      </c>
      <c r="H30" s="2">
        <v>0</v>
      </c>
      <c r="I30">
        <v>0</v>
      </c>
    </row>
    <row r="31" spans="1:11" x14ac:dyDescent="0.25">
      <c r="A31" t="s">
        <v>33</v>
      </c>
      <c r="B31">
        <f t="shared" si="0"/>
        <v>1</v>
      </c>
      <c r="C31" t="str">
        <f t="shared" si="1"/>
        <v>05</v>
      </c>
      <c r="D31" t="str">
        <f t="shared" si="2"/>
        <v>A</v>
      </c>
      <c r="F31">
        <v>401</v>
      </c>
      <c r="G31">
        <v>98</v>
      </c>
      <c r="H31" s="2">
        <v>1</v>
      </c>
      <c r="K31">
        <v>6</v>
      </c>
    </row>
    <row r="32" spans="1:11" x14ac:dyDescent="0.25">
      <c r="A32" t="s">
        <v>34</v>
      </c>
      <c r="B32">
        <f t="shared" si="0"/>
        <v>2</v>
      </c>
      <c r="C32" t="str">
        <f t="shared" si="1"/>
        <v>05</v>
      </c>
      <c r="D32" t="str">
        <f t="shared" si="2"/>
        <v>A</v>
      </c>
      <c r="F32">
        <v>164</v>
      </c>
      <c r="G32">
        <v>31</v>
      </c>
      <c r="H32" s="2">
        <v>0</v>
      </c>
      <c r="K32">
        <v>13</v>
      </c>
    </row>
    <row r="33" spans="1:11" x14ac:dyDescent="0.25">
      <c r="A33" t="s">
        <v>35</v>
      </c>
      <c r="B33">
        <f t="shared" si="0"/>
        <v>3</v>
      </c>
      <c r="C33" t="str">
        <f t="shared" si="1"/>
        <v>05</v>
      </c>
      <c r="D33" t="str">
        <f t="shared" si="2"/>
        <v>A</v>
      </c>
      <c r="F33">
        <v>92</v>
      </c>
      <c r="G33">
        <v>22</v>
      </c>
      <c r="H33" s="2">
        <v>0</v>
      </c>
      <c r="K33">
        <v>34</v>
      </c>
    </row>
    <row r="34" spans="1:11" x14ac:dyDescent="0.25">
      <c r="A34" t="s">
        <v>36</v>
      </c>
      <c r="B34">
        <f t="shared" si="0"/>
        <v>3</v>
      </c>
      <c r="C34" t="str">
        <f t="shared" si="1"/>
        <v>05</v>
      </c>
      <c r="D34" t="str">
        <f t="shared" si="2"/>
        <v>A</v>
      </c>
      <c r="F34">
        <v>161</v>
      </c>
      <c r="G34">
        <v>0</v>
      </c>
      <c r="H34" s="2">
        <v>0</v>
      </c>
      <c r="K34">
        <v>74</v>
      </c>
    </row>
    <row r="35" spans="1:11" x14ac:dyDescent="0.25">
      <c r="A35" t="s">
        <v>37</v>
      </c>
      <c r="B35">
        <f t="shared" si="0"/>
        <v>5</v>
      </c>
      <c r="C35" t="str">
        <f t="shared" si="1"/>
        <v>05</v>
      </c>
      <c r="D35" t="str">
        <f t="shared" si="2"/>
        <v>A</v>
      </c>
      <c r="F35">
        <v>727</v>
      </c>
      <c r="G35">
        <v>258</v>
      </c>
      <c r="H35" s="2">
        <v>1</v>
      </c>
      <c r="K35">
        <v>586</v>
      </c>
    </row>
    <row r="36" spans="1:11" x14ac:dyDescent="0.25">
      <c r="A36" t="s">
        <v>38</v>
      </c>
      <c r="B36">
        <f t="shared" si="0"/>
        <v>5</v>
      </c>
      <c r="C36" t="str">
        <f t="shared" si="1"/>
        <v>05</v>
      </c>
      <c r="D36" t="str">
        <f t="shared" si="2"/>
        <v>A</v>
      </c>
      <c r="F36">
        <v>177</v>
      </c>
      <c r="G36">
        <v>137</v>
      </c>
      <c r="H36" s="2">
        <v>0</v>
      </c>
      <c r="K36">
        <v>106</v>
      </c>
    </row>
    <row r="37" spans="1:11" x14ac:dyDescent="0.25">
      <c r="A37" t="s">
        <v>39</v>
      </c>
      <c r="B37">
        <f t="shared" si="0"/>
        <v>8</v>
      </c>
      <c r="C37" t="str">
        <f t="shared" si="1"/>
        <v>05</v>
      </c>
      <c r="D37" t="str">
        <f t="shared" si="2"/>
        <v>A</v>
      </c>
      <c r="F37">
        <v>1004</v>
      </c>
      <c r="G37">
        <v>619</v>
      </c>
      <c r="H37" s="2">
        <v>2</v>
      </c>
      <c r="K37">
        <v>489</v>
      </c>
    </row>
    <row r="38" spans="1:11" x14ac:dyDescent="0.25">
      <c r="A38" t="s">
        <v>40</v>
      </c>
      <c r="B38">
        <f t="shared" si="0"/>
        <v>8</v>
      </c>
      <c r="C38" t="str">
        <f t="shared" si="1"/>
        <v>05</v>
      </c>
      <c r="D38" t="str">
        <f t="shared" si="2"/>
        <v>A</v>
      </c>
      <c r="F38">
        <v>259</v>
      </c>
      <c r="G38">
        <v>0</v>
      </c>
      <c r="H38" s="2">
        <v>0</v>
      </c>
      <c r="K38">
        <v>218</v>
      </c>
    </row>
    <row r="39" spans="1:11" x14ac:dyDescent="0.25">
      <c r="A39" t="s">
        <v>41</v>
      </c>
      <c r="B39">
        <f t="shared" si="0"/>
        <v>11</v>
      </c>
      <c r="C39" t="str">
        <f t="shared" si="1"/>
        <v>05</v>
      </c>
      <c r="D39" t="str">
        <f t="shared" si="2"/>
        <v>A</v>
      </c>
      <c r="F39">
        <v>1026</v>
      </c>
      <c r="G39">
        <v>483</v>
      </c>
      <c r="H39" s="2">
        <v>2</v>
      </c>
      <c r="K39">
        <v>401</v>
      </c>
    </row>
    <row r="40" spans="1:11" x14ac:dyDescent="0.25">
      <c r="A40" t="s">
        <v>42</v>
      </c>
      <c r="B40">
        <f t="shared" si="0"/>
        <v>11</v>
      </c>
      <c r="C40" t="str">
        <f t="shared" si="1"/>
        <v>05</v>
      </c>
      <c r="D40" t="str">
        <f t="shared" si="2"/>
        <v>A</v>
      </c>
      <c r="F40">
        <v>591</v>
      </c>
      <c r="G40">
        <v>385</v>
      </c>
      <c r="H40" s="2">
        <v>2</v>
      </c>
      <c r="K40">
        <v>241</v>
      </c>
    </row>
    <row r="41" spans="1:11" x14ac:dyDescent="0.25">
      <c r="A41" t="s">
        <v>43</v>
      </c>
      <c r="B41">
        <f t="shared" si="0"/>
        <v>14</v>
      </c>
      <c r="C41" t="str">
        <f t="shared" si="1"/>
        <v>05</v>
      </c>
      <c r="D41" t="str">
        <f t="shared" si="2"/>
        <v>A</v>
      </c>
      <c r="F41">
        <v>602</v>
      </c>
      <c r="G41">
        <v>427</v>
      </c>
      <c r="H41" s="2">
        <v>2</v>
      </c>
      <c r="K41">
        <v>377</v>
      </c>
    </row>
    <row r="42" spans="1:11" x14ac:dyDescent="0.25">
      <c r="A42" t="s">
        <v>44</v>
      </c>
      <c r="B42">
        <f t="shared" si="0"/>
        <v>14</v>
      </c>
      <c r="C42" t="str">
        <f t="shared" si="1"/>
        <v>05</v>
      </c>
      <c r="D42" t="str">
        <f t="shared" si="2"/>
        <v>A</v>
      </c>
      <c r="F42">
        <v>390</v>
      </c>
      <c r="G42">
        <v>296</v>
      </c>
      <c r="H42" s="2">
        <v>1</v>
      </c>
      <c r="I42">
        <v>150</v>
      </c>
      <c r="K42">
        <v>233</v>
      </c>
    </row>
    <row r="43" spans="1:11" x14ac:dyDescent="0.25">
      <c r="A43" t="s">
        <v>45</v>
      </c>
      <c r="B43">
        <f t="shared" si="0"/>
        <v>17</v>
      </c>
      <c r="C43" t="str">
        <f t="shared" si="1"/>
        <v>05</v>
      </c>
      <c r="D43" t="str">
        <f t="shared" si="2"/>
        <v>A</v>
      </c>
      <c r="F43">
        <v>1066</v>
      </c>
      <c r="G43">
        <v>507</v>
      </c>
      <c r="H43" s="2">
        <v>1</v>
      </c>
      <c r="K43">
        <v>69</v>
      </c>
    </row>
    <row r="44" spans="1:11" x14ac:dyDescent="0.25">
      <c r="A44" t="s">
        <v>46</v>
      </c>
      <c r="B44">
        <f t="shared" si="0"/>
        <v>17</v>
      </c>
      <c r="C44" t="str">
        <f t="shared" si="1"/>
        <v>05</v>
      </c>
      <c r="D44" t="str">
        <f t="shared" si="2"/>
        <v>A</v>
      </c>
      <c r="F44">
        <v>483</v>
      </c>
      <c r="G44">
        <v>359</v>
      </c>
      <c r="H44" s="2">
        <v>1</v>
      </c>
      <c r="K44">
        <v>178</v>
      </c>
    </row>
    <row r="45" spans="1:11" x14ac:dyDescent="0.25">
      <c r="A45" t="s">
        <v>47</v>
      </c>
      <c r="B45">
        <f t="shared" si="0"/>
        <v>2</v>
      </c>
      <c r="C45" t="str">
        <f t="shared" si="1"/>
        <v>06</v>
      </c>
      <c r="D45" t="str">
        <f t="shared" si="2"/>
        <v>A</v>
      </c>
      <c r="F45">
        <v>213</v>
      </c>
      <c r="G45">
        <v>0</v>
      </c>
      <c r="H45" s="2">
        <v>0</v>
      </c>
      <c r="K45">
        <v>58</v>
      </c>
    </row>
    <row r="46" spans="1:11" x14ac:dyDescent="0.25">
      <c r="A46" t="s">
        <v>48</v>
      </c>
      <c r="B46">
        <f t="shared" si="0"/>
        <v>2</v>
      </c>
      <c r="C46" t="str">
        <f t="shared" si="1"/>
        <v>06</v>
      </c>
      <c r="D46" t="str">
        <f t="shared" si="2"/>
        <v>A</v>
      </c>
      <c r="F46">
        <v>96</v>
      </c>
      <c r="G46">
        <v>0</v>
      </c>
      <c r="H46" s="2">
        <v>0</v>
      </c>
    </row>
    <row r="47" spans="1:11" x14ac:dyDescent="0.25">
      <c r="A47" t="s">
        <v>49</v>
      </c>
      <c r="B47">
        <f t="shared" si="0"/>
        <v>3</v>
      </c>
      <c r="C47" t="str">
        <f t="shared" si="1"/>
        <v>06</v>
      </c>
      <c r="D47" t="str">
        <f t="shared" si="2"/>
        <v>A</v>
      </c>
      <c r="F47">
        <v>153</v>
      </c>
      <c r="G47">
        <v>48</v>
      </c>
      <c r="H47" s="2">
        <v>0</v>
      </c>
      <c r="K47">
        <v>57</v>
      </c>
    </row>
    <row r="48" spans="1:11" x14ac:dyDescent="0.25">
      <c r="A48" t="s">
        <v>50</v>
      </c>
      <c r="B48">
        <f t="shared" si="0"/>
        <v>3</v>
      </c>
      <c r="C48" t="str">
        <f t="shared" si="1"/>
        <v>06</v>
      </c>
      <c r="D48" t="str">
        <f t="shared" si="2"/>
        <v>A</v>
      </c>
      <c r="F48">
        <v>34</v>
      </c>
      <c r="G48">
        <v>61</v>
      </c>
      <c r="H48" s="2">
        <v>0</v>
      </c>
      <c r="I48">
        <v>0</v>
      </c>
      <c r="K48">
        <v>115</v>
      </c>
    </row>
    <row r="49" spans="1:11" x14ac:dyDescent="0.25">
      <c r="A49" t="s">
        <v>51</v>
      </c>
      <c r="B49">
        <f t="shared" si="0"/>
        <v>5</v>
      </c>
      <c r="C49" t="str">
        <f t="shared" si="1"/>
        <v>06</v>
      </c>
      <c r="D49" t="str">
        <f t="shared" si="2"/>
        <v>A</v>
      </c>
      <c r="F49">
        <v>40</v>
      </c>
      <c r="G49">
        <v>6</v>
      </c>
      <c r="H49" s="2">
        <v>0</v>
      </c>
      <c r="K49">
        <v>145</v>
      </c>
    </row>
    <row r="50" spans="1:11" x14ac:dyDescent="0.25">
      <c r="A50" t="s">
        <v>52</v>
      </c>
      <c r="B50">
        <f t="shared" si="0"/>
        <v>5</v>
      </c>
      <c r="C50" t="str">
        <f t="shared" si="1"/>
        <v>06</v>
      </c>
      <c r="D50" t="str">
        <f t="shared" si="2"/>
        <v>A</v>
      </c>
      <c r="F50">
        <v>341</v>
      </c>
      <c r="G50">
        <v>331</v>
      </c>
      <c r="H50" s="2">
        <v>2</v>
      </c>
      <c r="I50">
        <v>0</v>
      </c>
      <c r="K50">
        <v>55</v>
      </c>
    </row>
    <row r="51" spans="1:11" x14ac:dyDescent="0.25">
      <c r="A51" t="s">
        <v>53</v>
      </c>
      <c r="B51">
        <f t="shared" si="0"/>
        <v>8</v>
      </c>
      <c r="C51" t="str">
        <f t="shared" si="1"/>
        <v>06</v>
      </c>
      <c r="D51" t="str">
        <f t="shared" si="2"/>
        <v>A</v>
      </c>
      <c r="F51">
        <v>151</v>
      </c>
      <c r="G51">
        <v>55</v>
      </c>
      <c r="H51" s="2">
        <v>0</v>
      </c>
      <c r="I51">
        <v>93</v>
      </c>
      <c r="K51">
        <v>540</v>
      </c>
    </row>
    <row r="52" spans="1:11" x14ac:dyDescent="0.25">
      <c r="A52" t="s">
        <v>54</v>
      </c>
      <c r="B52">
        <f t="shared" si="0"/>
        <v>8</v>
      </c>
      <c r="C52" t="str">
        <f t="shared" si="1"/>
        <v>06</v>
      </c>
      <c r="D52" t="str">
        <f t="shared" si="2"/>
        <v>A</v>
      </c>
      <c r="F52">
        <v>174</v>
      </c>
      <c r="G52">
        <v>36</v>
      </c>
      <c r="H52" s="2">
        <v>0</v>
      </c>
      <c r="I52">
        <v>0</v>
      </c>
      <c r="K52">
        <v>316</v>
      </c>
    </row>
    <row r="53" spans="1:11" x14ac:dyDescent="0.25">
      <c r="A53" t="s">
        <v>55</v>
      </c>
      <c r="B53">
        <f t="shared" si="0"/>
        <v>11</v>
      </c>
      <c r="C53" t="str">
        <f t="shared" si="1"/>
        <v>06</v>
      </c>
      <c r="D53" t="str">
        <f t="shared" si="2"/>
        <v>A</v>
      </c>
      <c r="F53">
        <v>480</v>
      </c>
      <c r="G53">
        <v>301</v>
      </c>
      <c r="H53" s="2">
        <v>2</v>
      </c>
      <c r="K53">
        <v>206</v>
      </c>
    </row>
    <row r="54" spans="1:11" x14ac:dyDescent="0.25">
      <c r="A54" t="s">
        <v>56</v>
      </c>
      <c r="B54">
        <f t="shared" si="0"/>
        <v>11</v>
      </c>
      <c r="C54" t="str">
        <f t="shared" si="1"/>
        <v>06</v>
      </c>
      <c r="D54" t="str">
        <f t="shared" si="2"/>
        <v>A</v>
      </c>
      <c r="F54">
        <v>273</v>
      </c>
      <c r="H54" s="1"/>
    </row>
    <row r="55" spans="1:11" x14ac:dyDescent="0.25">
      <c r="A55" t="s">
        <v>57</v>
      </c>
      <c r="B55">
        <f t="shared" si="0"/>
        <v>14</v>
      </c>
      <c r="C55" t="str">
        <f t="shared" si="1"/>
        <v>06</v>
      </c>
      <c r="D55" t="str">
        <f t="shared" si="2"/>
        <v>A</v>
      </c>
      <c r="F55">
        <v>518</v>
      </c>
      <c r="G55">
        <v>167</v>
      </c>
      <c r="H55" s="2">
        <v>1</v>
      </c>
      <c r="K55">
        <v>209</v>
      </c>
    </row>
    <row r="56" spans="1:11" x14ac:dyDescent="0.25">
      <c r="A56" t="s">
        <v>58</v>
      </c>
      <c r="B56">
        <f t="shared" si="0"/>
        <v>17</v>
      </c>
      <c r="C56" t="str">
        <f t="shared" si="1"/>
        <v>06</v>
      </c>
      <c r="D56" t="str">
        <f t="shared" si="2"/>
        <v>A</v>
      </c>
      <c r="F56">
        <v>93</v>
      </c>
      <c r="G56">
        <v>121</v>
      </c>
      <c r="H56" s="2">
        <v>1</v>
      </c>
      <c r="K56">
        <v>219</v>
      </c>
    </row>
    <row r="57" spans="1:11" x14ac:dyDescent="0.25">
      <c r="A57" t="s">
        <v>59</v>
      </c>
      <c r="B57">
        <f t="shared" si="0"/>
        <v>1</v>
      </c>
      <c r="C57" t="str">
        <f t="shared" si="1"/>
        <v>08</v>
      </c>
      <c r="D57" t="str">
        <f t="shared" si="2"/>
        <v>A</v>
      </c>
      <c r="F57">
        <v>35</v>
      </c>
      <c r="G57">
        <v>1</v>
      </c>
      <c r="H57" s="2">
        <v>0</v>
      </c>
      <c r="K57">
        <v>26</v>
      </c>
    </row>
    <row r="58" spans="1:11" x14ac:dyDescent="0.25">
      <c r="A58" t="s">
        <v>60</v>
      </c>
      <c r="B58">
        <f t="shared" si="0"/>
        <v>1</v>
      </c>
      <c r="C58" t="str">
        <f t="shared" si="1"/>
        <v>08</v>
      </c>
      <c r="D58" t="str">
        <f t="shared" si="2"/>
        <v>B</v>
      </c>
      <c r="F58">
        <v>31</v>
      </c>
      <c r="G58">
        <v>76</v>
      </c>
      <c r="H58" s="2">
        <v>1</v>
      </c>
    </row>
    <row r="59" spans="1:11" x14ac:dyDescent="0.25">
      <c r="A59" t="s">
        <v>61</v>
      </c>
      <c r="B59">
        <f t="shared" si="0"/>
        <v>2</v>
      </c>
      <c r="C59" t="str">
        <f t="shared" si="1"/>
        <v>08</v>
      </c>
      <c r="D59" t="str">
        <f t="shared" si="2"/>
        <v>A</v>
      </c>
      <c r="F59">
        <v>29</v>
      </c>
      <c r="G59">
        <v>17</v>
      </c>
      <c r="H59" s="2">
        <v>0</v>
      </c>
      <c r="K59">
        <v>47</v>
      </c>
    </row>
    <row r="60" spans="1:11" x14ac:dyDescent="0.25">
      <c r="A60" t="s">
        <v>62</v>
      </c>
      <c r="B60">
        <f t="shared" si="0"/>
        <v>3</v>
      </c>
      <c r="C60" t="str">
        <f t="shared" si="1"/>
        <v>08</v>
      </c>
      <c r="D60" t="str">
        <f t="shared" si="2"/>
        <v>A</v>
      </c>
      <c r="F60">
        <v>154</v>
      </c>
      <c r="G60">
        <v>0</v>
      </c>
      <c r="H60" s="2">
        <v>0</v>
      </c>
      <c r="K60">
        <v>25</v>
      </c>
    </row>
    <row r="61" spans="1:11" x14ac:dyDescent="0.25">
      <c r="A61" t="s">
        <v>63</v>
      </c>
      <c r="B61">
        <f t="shared" si="0"/>
        <v>5</v>
      </c>
      <c r="C61" t="str">
        <f t="shared" si="1"/>
        <v>08</v>
      </c>
      <c r="D61" t="str">
        <f t="shared" si="2"/>
        <v>A</v>
      </c>
      <c r="F61">
        <v>46</v>
      </c>
      <c r="G61">
        <v>0</v>
      </c>
      <c r="H61" s="2">
        <v>0</v>
      </c>
      <c r="K61">
        <v>151</v>
      </c>
    </row>
    <row r="62" spans="1:11" x14ac:dyDescent="0.25">
      <c r="A62" t="s">
        <v>64</v>
      </c>
      <c r="B62">
        <f t="shared" si="0"/>
        <v>5</v>
      </c>
      <c r="C62" t="str">
        <f t="shared" si="1"/>
        <v>08</v>
      </c>
      <c r="D62" t="str">
        <f t="shared" si="2"/>
        <v>B</v>
      </c>
      <c r="F62">
        <v>134</v>
      </c>
      <c r="G62">
        <v>8</v>
      </c>
      <c r="H62" s="2">
        <v>0</v>
      </c>
      <c r="K62">
        <v>229</v>
      </c>
    </row>
    <row r="63" spans="1:11" x14ac:dyDescent="0.25">
      <c r="A63" t="s">
        <v>65</v>
      </c>
      <c r="B63">
        <f t="shared" si="0"/>
        <v>5</v>
      </c>
      <c r="C63" t="str">
        <f t="shared" si="1"/>
        <v>08</v>
      </c>
      <c r="D63" t="str">
        <f t="shared" si="2"/>
        <v>A</v>
      </c>
      <c r="F63">
        <v>216</v>
      </c>
      <c r="G63">
        <v>74</v>
      </c>
      <c r="H63" s="2">
        <v>1</v>
      </c>
      <c r="K63">
        <v>72</v>
      </c>
    </row>
    <row r="64" spans="1:11" x14ac:dyDescent="0.25">
      <c r="A64" t="s">
        <v>66</v>
      </c>
      <c r="B64">
        <f t="shared" si="0"/>
        <v>5</v>
      </c>
      <c r="C64" t="str">
        <f t="shared" si="1"/>
        <v>08</v>
      </c>
      <c r="D64" t="str">
        <f t="shared" si="2"/>
        <v>B</v>
      </c>
      <c r="F64">
        <v>290</v>
      </c>
      <c r="G64">
        <v>6</v>
      </c>
      <c r="H64" s="2">
        <v>0</v>
      </c>
      <c r="K64">
        <v>96</v>
      </c>
    </row>
    <row r="65" spans="1:11" x14ac:dyDescent="0.25">
      <c r="A65" t="s">
        <v>67</v>
      </c>
      <c r="B65">
        <f t="shared" si="0"/>
        <v>1</v>
      </c>
      <c r="C65" t="str">
        <f t="shared" si="1"/>
        <v>1B</v>
      </c>
      <c r="D65" t="str">
        <f t="shared" si="2"/>
        <v>A</v>
      </c>
      <c r="F65">
        <v>5</v>
      </c>
      <c r="G65">
        <v>13</v>
      </c>
      <c r="H65" s="2">
        <v>0</v>
      </c>
      <c r="K65">
        <v>0</v>
      </c>
    </row>
    <row r="66" spans="1:11" x14ac:dyDescent="0.25">
      <c r="A66" t="s">
        <v>68</v>
      </c>
      <c r="B66">
        <f t="shared" si="0"/>
        <v>1</v>
      </c>
      <c r="C66" t="str">
        <f t="shared" si="1"/>
        <v>1B</v>
      </c>
      <c r="D66" t="str">
        <f t="shared" si="2"/>
        <v>B</v>
      </c>
      <c r="F66">
        <v>43</v>
      </c>
      <c r="G66">
        <v>8</v>
      </c>
      <c r="H66" s="2">
        <v>0</v>
      </c>
    </row>
    <row r="67" spans="1:11" x14ac:dyDescent="0.25">
      <c r="A67" t="s">
        <v>69</v>
      </c>
      <c r="B67">
        <f t="shared" ref="B67:B130" si="3">MID(A67,4,2)+0</f>
        <v>2</v>
      </c>
      <c r="C67" t="str">
        <f t="shared" ref="C67:C130" si="4">LEFT(A67,2)</f>
        <v>1B</v>
      </c>
      <c r="D67" t="str">
        <f t="shared" ref="D67:D130" si="5">RIGHT(A67)</f>
        <v>A</v>
      </c>
      <c r="F67">
        <v>157</v>
      </c>
      <c r="G67">
        <v>59</v>
      </c>
      <c r="H67" s="2">
        <v>0</v>
      </c>
      <c r="K67">
        <v>1</v>
      </c>
    </row>
    <row r="68" spans="1:11" x14ac:dyDescent="0.25">
      <c r="A68" t="s">
        <v>70</v>
      </c>
      <c r="B68">
        <f t="shared" si="3"/>
        <v>2</v>
      </c>
      <c r="C68" t="str">
        <f t="shared" si="4"/>
        <v>1B</v>
      </c>
      <c r="D68" t="str">
        <f t="shared" si="5"/>
        <v>B</v>
      </c>
      <c r="F68">
        <v>25</v>
      </c>
      <c r="G68">
        <v>31</v>
      </c>
      <c r="H68" s="2">
        <v>1</v>
      </c>
    </row>
    <row r="69" spans="1:11" x14ac:dyDescent="0.25">
      <c r="A69" t="s">
        <v>71</v>
      </c>
      <c r="B69">
        <f t="shared" si="3"/>
        <v>3</v>
      </c>
      <c r="C69" t="str">
        <f t="shared" si="4"/>
        <v>1B</v>
      </c>
      <c r="D69" t="str">
        <f t="shared" si="5"/>
        <v>A</v>
      </c>
      <c r="F69">
        <v>125</v>
      </c>
      <c r="G69">
        <v>8</v>
      </c>
      <c r="H69" s="2">
        <v>0</v>
      </c>
      <c r="K69">
        <v>67</v>
      </c>
    </row>
    <row r="70" spans="1:11" x14ac:dyDescent="0.25">
      <c r="A70" t="s">
        <v>72</v>
      </c>
      <c r="B70">
        <f t="shared" si="3"/>
        <v>3</v>
      </c>
      <c r="C70" t="str">
        <f t="shared" si="4"/>
        <v>1B</v>
      </c>
      <c r="D70" t="str">
        <f t="shared" si="5"/>
        <v>B</v>
      </c>
      <c r="F70">
        <v>185</v>
      </c>
      <c r="G70">
        <v>31</v>
      </c>
      <c r="H70" s="2">
        <v>0</v>
      </c>
      <c r="K70">
        <v>87</v>
      </c>
    </row>
    <row r="71" spans="1:11" x14ac:dyDescent="0.25">
      <c r="A71" t="s">
        <v>73</v>
      </c>
      <c r="B71">
        <f t="shared" si="3"/>
        <v>3</v>
      </c>
      <c r="C71" t="str">
        <f t="shared" si="4"/>
        <v>1B</v>
      </c>
      <c r="D71" t="str">
        <f t="shared" si="5"/>
        <v>C</v>
      </c>
      <c r="F71">
        <v>18</v>
      </c>
      <c r="G71">
        <v>7</v>
      </c>
      <c r="H71" s="2">
        <v>0</v>
      </c>
      <c r="K71">
        <v>2</v>
      </c>
    </row>
    <row r="72" spans="1:11" x14ac:dyDescent="0.25">
      <c r="A72" t="s">
        <v>74</v>
      </c>
      <c r="B72">
        <f t="shared" si="3"/>
        <v>5</v>
      </c>
      <c r="C72" t="str">
        <f t="shared" si="4"/>
        <v>1B</v>
      </c>
      <c r="D72" t="str">
        <f t="shared" si="5"/>
        <v>A</v>
      </c>
      <c r="F72">
        <v>62</v>
      </c>
      <c r="H72" s="1"/>
    </row>
    <row r="73" spans="1:11" x14ac:dyDescent="0.25">
      <c r="A73" t="s">
        <v>75</v>
      </c>
      <c r="B73">
        <f t="shared" si="3"/>
        <v>3</v>
      </c>
      <c r="C73" t="str">
        <f t="shared" si="4"/>
        <v>Z1</v>
      </c>
      <c r="D73" t="str">
        <f t="shared" si="5"/>
        <v>A</v>
      </c>
      <c r="F73">
        <v>936</v>
      </c>
      <c r="G73">
        <v>400</v>
      </c>
      <c r="H73" s="2">
        <v>2</v>
      </c>
    </row>
    <row r="74" spans="1:11" x14ac:dyDescent="0.25">
      <c r="A74" t="s">
        <v>76</v>
      </c>
      <c r="B74">
        <f t="shared" si="3"/>
        <v>4</v>
      </c>
      <c r="C74" t="str">
        <f t="shared" si="4"/>
        <v>Z1</v>
      </c>
      <c r="D74" t="str">
        <f t="shared" si="5"/>
        <v>A</v>
      </c>
      <c r="F74">
        <v>695</v>
      </c>
      <c r="G74">
        <v>238</v>
      </c>
      <c r="H74" s="2">
        <v>2</v>
      </c>
    </row>
    <row r="75" spans="1:11" x14ac:dyDescent="0.25">
      <c r="A75" t="s">
        <v>77</v>
      </c>
      <c r="B75">
        <f t="shared" si="3"/>
        <v>5</v>
      </c>
      <c r="C75" t="str">
        <f t="shared" si="4"/>
        <v>Z1</v>
      </c>
      <c r="D75" t="str">
        <f t="shared" si="5"/>
        <v>A</v>
      </c>
      <c r="F75">
        <v>764</v>
      </c>
      <c r="G75">
        <v>263</v>
      </c>
      <c r="H75" s="2">
        <v>2</v>
      </c>
    </row>
    <row r="76" spans="1:11" x14ac:dyDescent="0.25">
      <c r="A76" t="s">
        <v>78</v>
      </c>
      <c r="B76">
        <f t="shared" si="3"/>
        <v>7</v>
      </c>
      <c r="C76" t="str">
        <f t="shared" si="4"/>
        <v>Z1</v>
      </c>
      <c r="D76" t="str">
        <f t="shared" si="5"/>
        <v>A</v>
      </c>
      <c r="F76">
        <v>944</v>
      </c>
      <c r="G76">
        <v>409</v>
      </c>
      <c r="H76" s="2">
        <v>2</v>
      </c>
    </row>
    <row r="77" spans="1:11" x14ac:dyDescent="0.25">
      <c r="A77" t="s">
        <v>79</v>
      </c>
      <c r="B77">
        <f t="shared" si="3"/>
        <v>8</v>
      </c>
      <c r="C77" t="str">
        <f t="shared" si="4"/>
        <v>Z1</v>
      </c>
      <c r="D77" t="str">
        <f t="shared" si="5"/>
        <v>A</v>
      </c>
      <c r="F77">
        <v>351</v>
      </c>
      <c r="G77">
        <v>357</v>
      </c>
      <c r="H77" s="2">
        <v>2</v>
      </c>
    </row>
    <row r="78" spans="1:11" x14ac:dyDescent="0.25">
      <c r="A78" t="s">
        <v>80</v>
      </c>
      <c r="B78">
        <f t="shared" si="3"/>
        <v>10</v>
      </c>
      <c r="C78" t="str">
        <f t="shared" si="4"/>
        <v>Z1</v>
      </c>
      <c r="D78" t="str">
        <f t="shared" si="5"/>
        <v>A</v>
      </c>
      <c r="F78">
        <v>504</v>
      </c>
      <c r="G78">
        <v>455</v>
      </c>
      <c r="H78" s="2">
        <v>2</v>
      </c>
    </row>
    <row r="79" spans="1:11" x14ac:dyDescent="0.25">
      <c r="A79" t="s">
        <v>81</v>
      </c>
      <c r="B79">
        <f t="shared" si="3"/>
        <v>8</v>
      </c>
      <c r="C79" t="str">
        <f t="shared" si="4"/>
        <v>Z2</v>
      </c>
      <c r="D79" t="str">
        <f t="shared" si="5"/>
        <v>A</v>
      </c>
      <c r="F79">
        <v>581</v>
      </c>
      <c r="G79">
        <v>389</v>
      </c>
      <c r="H79" s="2">
        <v>2</v>
      </c>
    </row>
    <row r="80" spans="1:11" x14ac:dyDescent="0.25">
      <c r="A80" t="s">
        <v>82</v>
      </c>
      <c r="B80">
        <f t="shared" si="3"/>
        <v>9</v>
      </c>
      <c r="C80" t="str">
        <f t="shared" si="4"/>
        <v>Z2</v>
      </c>
      <c r="D80" t="str">
        <f t="shared" si="5"/>
        <v>A</v>
      </c>
      <c r="F80">
        <v>988</v>
      </c>
      <c r="G80">
        <v>366</v>
      </c>
      <c r="H80" s="2">
        <v>2</v>
      </c>
    </row>
    <row r="81" spans="1:11" x14ac:dyDescent="0.25">
      <c r="A81" t="s">
        <v>83</v>
      </c>
      <c r="B81">
        <f t="shared" si="3"/>
        <v>10</v>
      </c>
      <c r="C81" t="str">
        <f t="shared" si="4"/>
        <v>Z2</v>
      </c>
      <c r="D81" t="str">
        <f t="shared" si="5"/>
        <v>A</v>
      </c>
      <c r="F81">
        <v>1030</v>
      </c>
      <c r="G81">
        <v>536</v>
      </c>
      <c r="H81" s="2">
        <v>2</v>
      </c>
    </row>
    <row r="82" spans="1:11" x14ac:dyDescent="0.25">
      <c r="A82" t="s">
        <v>84</v>
      </c>
      <c r="B82">
        <f t="shared" si="3"/>
        <v>10</v>
      </c>
      <c r="C82" t="str">
        <f t="shared" si="4"/>
        <v>Z2</v>
      </c>
      <c r="D82" t="str">
        <f t="shared" si="5"/>
        <v>B</v>
      </c>
      <c r="F82">
        <v>843</v>
      </c>
      <c r="G82">
        <v>456</v>
      </c>
      <c r="H82" s="2">
        <v>2</v>
      </c>
    </row>
    <row r="83" spans="1:11" x14ac:dyDescent="0.25">
      <c r="A83" t="s">
        <v>85</v>
      </c>
      <c r="B83">
        <f t="shared" si="3"/>
        <v>11</v>
      </c>
      <c r="C83" t="str">
        <f t="shared" si="4"/>
        <v>Z2</v>
      </c>
      <c r="D83" t="str">
        <f t="shared" si="5"/>
        <v>A</v>
      </c>
      <c r="F83">
        <v>743</v>
      </c>
      <c r="G83">
        <v>504</v>
      </c>
      <c r="H83" s="2">
        <v>2</v>
      </c>
    </row>
    <row r="84" spans="1:11" x14ac:dyDescent="0.25">
      <c r="A84" t="s">
        <v>86</v>
      </c>
      <c r="B84">
        <f t="shared" si="3"/>
        <v>12</v>
      </c>
      <c r="C84" t="str">
        <f t="shared" si="4"/>
        <v>Z2</v>
      </c>
      <c r="D84" t="str">
        <f t="shared" si="5"/>
        <v>A</v>
      </c>
      <c r="F84">
        <v>736</v>
      </c>
      <c r="G84">
        <v>399</v>
      </c>
      <c r="H84" s="2">
        <v>2</v>
      </c>
    </row>
    <row r="85" spans="1:11" x14ac:dyDescent="0.25">
      <c r="A85" t="s">
        <v>87</v>
      </c>
      <c r="B85">
        <f t="shared" si="3"/>
        <v>2</v>
      </c>
      <c r="C85" t="str">
        <f t="shared" si="4"/>
        <v>02</v>
      </c>
      <c r="D85" t="str">
        <f t="shared" si="5"/>
        <v>A</v>
      </c>
      <c r="I85">
        <v>231</v>
      </c>
      <c r="J85" s="4">
        <v>2</v>
      </c>
      <c r="K85">
        <v>16</v>
      </c>
    </row>
    <row r="86" spans="1:11" x14ac:dyDescent="0.25">
      <c r="A86" t="s">
        <v>88</v>
      </c>
      <c r="B86">
        <f t="shared" si="3"/>
        <v>2</v>
      </c>
      <c r="C86" t="str">
        <f t="shared" si="4"/>
        <v>02</v>
      </c>
      <c r="D86" t="str">
        <f t="shared" si="5"/>
        <v>A</v>
      </c>
      <c r="I86">
        <v>0</v>
      </c>
      <c r="J86" s="4">
        <v>0</v>
      </c>
      <c r="K86">
        <v>140</v>
      </c>
    </row>
    <row r="87" spans="1:11" x14ac:dyDescent="0.25">
      <c r="A87" t="s">
        <v>89</v>
      </c>
      <c r="B87">
        <f t="shared" si="3"/>
        <v>3</v>
      </c>
      <c r="C87" t="str">
        <f t="shared" si="4"/>
        <v>02</v>
      </c>
      <c r="D87" t="str">
        <f t="shared" si="5"/>
        <v>A</v>
      </c>
      <c r="I87">
        <v>56</v>
      </c>
      <c r="J87" s="4">
        <v>0</v>
      </c>
      <c r="K87">
        <v>31</v>
      </c>
    </row>
    <row r="88" spans="1:11" x14ac:dyDescent="0.25">
      <c r="A88" t="s">
        <v>90</v>
      </c>
      <c r="B88">
        <f t="shared" si="3"/>
        <v>5</v>
      </c>
      <c r="C88" t="str">
        <f t="shared" si="4"/>
        <v>02</v>
      </c>
      <c r="D88" t="str">
        <f t="shared" si="5"/>
        <v>A</v>
      </c>
      <c r="I88">
        <v>0</v>
      </c>
      <c r="J88" s="4">
        <v>0</v>
      </c>
      <c r="K88">
        <v>600</v>
      </c>
    </row>
    <row r="89" spans="1:11" x14ac:dyDescent="0.25">
      <c r="A89" t="s">
        <v>91</v>
      </c>
      <c r="B89">
        <f t="shared" si="3"/>
        <v>8</v>
      </c>
      <c r="C89" t="str">
        <f t="shared" si="4"/>
        <v>02</v>
      </c>
      <c r="D89" t="str">
        <f t="shared" si="5"/>
        <v>A</v>
      </c>
      <c r="I89">
        <v>0</v>
      </c>
      <c r="J89" s="4">
        <v>0</v>
      </c>
      <c r="K89">
        <v>996</v>
      </c>
    </row>
    <row r="90" spans="1:11" x14ac:dyDescent="0.25">
      <c r="A90" t="s">
        <v>92</v>
      </c>
      <c r="B90">
        <f t="shared" si="3"/>
        <v>8</v>
      </c>
      <c r="C90" t="str">
        <f t="shared" si="4"/>
        <v>02</v>
      </c>
      <c r="D90" t="str">
        <f t="shared" si="5"/>
        <v>A</v>
      </c>
      <c r="I90">
        <v>192</v>
      </c>
      <c r="J90" s="4">
        <v>1</v>
      </c>
      <c r="K90">
        <v>145</v>
      </c>
    </row>
    <row r="91" spans="1:11" x14ac:dyDescent="0.25">
      <c r="A91" t="s">
        <v>93</v>
      </c>
      <c r="B91">
        <f t="shared" si="3"/>
        <v>10</v>
      </c>
      <c r="C91" t="str">
        <f t="shared" si="4"/>
        <v>02</v>
      </c>
      <c r="D91" t="str">
        <f t="shared" si="5"/>
        <v>A</v>
      </c>
      <c r="I91">
        <v>0</v>
      </c>
      <c r="J91" s="4">
        <v>0</v>
      </c>
      <c r="K91">
        <v>175</v>
      </c>
    </row>
    <row r="92" spans="1:11" x14ac:dyDescent="0.25">
      <c r="A92" t="s">
        <v>94</v>
      </c>
      <c r="B92">
        <f t="shared" si="3"/>
        <v>11</v>
      </c>
      <c r="C92" t="str">
        <f t="shared" si="4"/>
        <v>02</v>
      </c>
      <c r="D92" t="str">
        <f t="shared" si="5"/>
        <v>A</v>
      </c>
      <c r="I92">
        <v>142</v>
      </c>
      <c r="J92" s="4">
        <v>1</v>
      </c>
      <c r="K92">
        <v>89</v>
      </c>
    </row>
    <row r="93" spans="1:11" x14ac:dyDescent="0.25">
      <c r="A93" t="s">
        <v>95</v>
      </c>
      <c r="B93">
        <f t="shared" si="3"/>
        <v>14</v>
      </c>
      <c r="C93" t="str">
        <f t="shared" si="4"/>
        <v>02</v>
      </c>
      <c r="D93" t="str">
        <f t="shared" si="5"/>
        <v>A</v>
      </c>
      <c r="I93">
        <v>17</v>
      </c>
      <c r="J93" s="4">
        <v>0</v>
      </c>
      <c r="K93">
        <v>61</v>
      </c>
    </row>
    <row r="94" spans="1:11" x14ac:dyDescent="0.25">
      <c r="A94" t="s">
        <v>96</v>
      </c>
      <c r="B94">
        <f t="shared" si="3"/>
        <v>14</v>
      </c>
      <c r="C94" t="str">
        <f t="shared" si="4"/>
        <v>02</v>
      </c>
      <c r="D94" t="str">
        <f t="shared" si="5"/>
        <v>A</v>
      </c>
      <c r="I94">
        <v>182</v>
      </c>
      <c r="J94" s="4">
        <v>2</v>
      </c>
      <c r="K94">
        <v>226</v>
      </c>
    </row>
    <row r="95" spans="1:11" x14ac:dyDescent="0.25">
      <c r="A95" t="s">
        <v>97</v>
      </c>
      <c r="B95">
        <f t="shared" si="3"/>
        <v>17</v>
      </c>
      <c r="C95" t="str">
        <f t="shared" si="4"/>
        <v>02</v>
      </c>
      <c r="D95" t="str">
        <f t="shared" si="5"/>
        <v>A</v>
      </c>
      <c r="I95">
        <v>209</v>
      </c>
      <c r="J95" s="4">
        <v>2</v>
      </c>
      <c r="K95">
        <v>38</v>
      </c>
    </row>
    <row r="96" spans="1:11" x14ac:dyDescent="0.25">
      <c r="A96" t="s">
        <v>98</v>
      </c>
      <c r="B96">
        <f t="shared" si="3"/>
        <v>17</v>
      </c>
      <c r="C96" t="str">
        <f t="shared" si="4"/>
        <v>02</v>
      </c>
      <c r="D96" t="str">
        <f t="shared" si="5"/>
        <v>A</v>
      </c>
      <c r="I96">
        <v>159</v>
      </c>
      <c r="J96" s="4">
        <v>2</v>
      </c>
      <c r="K96">
        <v>112</v>
      </c>
    </row>
    <row r="97" spans="1:11" x14ac:dyDescent="0.25">
      <c r="A97" t="s">
        <v>99</v>
      </c>
      <c r="B97">
        <f t="shared" si="3"/>
        <v>21</v>
      </c>
      <c r="C97" t="str">
        <f t="shared" si="4"/>
        <v>02</v>
      </c>
      <c r="D97" t="str">
        <f t="shared" si="5"/>
        <v>A</v>
      </c>
      <c r="I97">
        <v>172</v>
      </c>
      <c r="J97" s="4">
        <v>2</v>
      </c>
      <c r="K97">
        <v>237</v>
      </c>
    </row>
    <row r="98" spans="1:11" x14ac:dyDescent="0.25">
      <c r="A98" t="s">
        <v>100</v>
      </c>
      <c r="B98">
        <f t="shared" si="3"/>
        <v>24</v>
      </c>
      <c r="C98" t="str">
        <f t="shared" si="4"/>
        <v>02</v>
      </c>
      <c r="D98" t="str">
        <f t="shared" si="5"/>
        <v>A</v>
      </c>
      <c r="I98">
        <v>239</v>
      </c>
      <c r="J98" s="4">
        <v>2</v>
      </c>
      <c r="K98">
        <v>124</v>
      </c>
    </row>
    <row r="99" spans="1:11" x14ac:dyDescent="0.25">
      <c r="A99" t="s">
        <v>101</v>
      </c>
      <c r="B99">
        <f t="shared" si="3"/>
        <v>7</v>
      </c>
      <c r="C99" t="str">
        <f t="shared" si="4"/>
        <v>03</v>
      </c>
      <c r="D99" t="str">
        <f t="shared" si="5"/>
        <v>A</v>
      </c>
      <c r="I99">
        <v>68</v>
      </c>
      <c r="J99" s="4">
        <v>0</v>
      </c>
      <c r="K99">
        <v>590</v>
      </c>
    </row>
    <row r="100" spans="1:11" x14ac:dyDescent="0.25">
      <c r="A100" t="s">
        <v>102</v>
      </c>
      <c r="B100">
        <f t="shared" si="3"/>
        <v>18</v>
      </c>
      <c r="C100" t="str">
        <f t="shared" si="4"/>
        <v>03</v>
      </c>
      <c r="D100" t="str">
        <f t="shared" si="5"/>
        <v>A</v>
      </c>
      <c r="I100">
        <v>281</v>
      </c>
      <c r="J100" s="4">
        <v>2</v>
      </c>
      <c r="K100">
        <v>238</v>
      </c>
    </row>
    <row r="101" spans="1:11" x14ac:dyDescent="0.25">
      <c r="A101" t="s">
        <v>103</v>
      </c>
      <c r="B101">
        <f t="shared" si="3"/>
        <v>24</v>
      </c>
      <c r="C101" t="str">
        <f t="shared" si="4"/>
        <v>03</v>
      </c>
      <c r="D101" t="str">
        <f t="shared" si="5"/>
        <v>A</v>
      </c>
      <c r="I101">
        <v>308</v>
      </c>
      <c r="J101" s="4">
        <v>2</v>
      </c>
      <c r="K101">
        <v>281</v>
      </c>
    </row>
    <row r="102" spans="1:11" x14ac:dyDescent="0.25">
      <c r="A102" t="s">
        <v>104</v>
      </c>
      <c r="B102">
        <f t="shared" si="3"/>
        <v>24</v>
      </c>
      <c r="C102" t="str">
        <f t="shared" si="4"/>
        <v>03</v>
      </c>
      <c r="D102" t="str">
        <f t="shared" si="5"/>
        <v>A</v>
      </c>
      <c r="I102">
        <v>268</v>
      </c>
      <c r="J102" s="4">
        <v>2</v>
      </c>
      <c r="K102">
        <v>298</v>
      </c>
    </row>
    <row r="103" spans="1:11" x14ac:dyDescent="0.25">
      <c r="A103" t="s">
        <v>105</v>
      </c>
      <c r="B103">
        <f t="shared" si="3"/>
        <v>29</v>
      </c>
      <c r="C103" t="str">
        <f t="shared" si="4"/>
        <v>03</v>
      </c>
      <c r="D103" t="str">
        <f t="shared" si="5"/>
        <v>A</v>
      </c>
      <c r="I103">
        <v>199</v>
      </c>
      <c r="J103" s="4">
        <v>2</v>
      </c>
      <c r="K103">
        <v>173</v>
      </c>
    </row>
    <row r="104" spans="1:11" x14ac:dyDescent="0.25">
      <c r="A104" t="s">
        <v>106</v>
      </c>
      <c r="B104">
        <f t="shared" si="3"/>
        <v>31</v>
      </c>
      <c r="C104" t="str">
        <f t="shared" si="4"/>
        <v>03</v>
      </c>
      <c r="D104" t="str">
        <f t="shared" si="5"/>
        <v>A</v>
      </c>
      <c r="I104">
        <v>277</v>
      </c>
      <c r="J104" s="4">
        <v>2</v>
      </c>
      <c r="K104">
        <v>62</v>
      </c>
    </row>
    <row r="105" spans="1:11" x14ac:dyDescent="0.25">
      <c r="A105" t="s">
        <v>107</v>
      </c>
      <c r="B105">
        <f t="shared" si="3"/>
        <v>38</v>
      </c>
      <c r="C105" t="str">
        <f t="shared" si="4"/>
        <v>03</v>
      </c>
      <c r="D105" t="str">
        <f t="shared" si="5"/>
        <v>A</v>
      </c>
      <c r="I105">
        <v>146</v>
      </c>
      <c r="J105" s="4">
        <v>2</v>
      </c>
      <c r="K105">
        <v>45</v>
      </c>
    </row>
    <row r="106" spans="1:11" x14ac:dyDescent="0.25">
      <c r="A106" t="s">
        <v>108</v>
      </c>
      <c r="B106">
        <f t="shared" si="3"/>
        <v>39</v>
      </c>
      <c r="C106" t="str">
        <f t="shared" si="4"/>
        <v>03</v>
      </c>
      <c r="D106" t="str">
        <f t="shared" si="5"/>
        <v>A</v>
      </c>
      <c r="I106">
        <v>98</v>
      </c>
      <c r="J106" s="4">
        <v>2</v>
      </c>
      <c r="K106">
        <v>23</v>
      </c>
    </row>
    <row r="107" spans="1:11" x14ac:dyDescent="0.25">
      <c r="A107" t="s">
        <v>109</v>
      </c>
      <c r="B107">
        <f t="shared" si="3"/>
        <v>45</v>
      </c>
      <c r="C107" t="str">
        <f t="shared" si="4"/>
        <v>03</v>
      </c>
      <c r="D107" t="str">
        <f t="shared" si="5"/>
        <v>A</v>
      </c>
      <c r="J107" s="3"/>
      <c r="K107">
        <v>48</v>
      </c>
    </row>
    <row r="108" spans="1:11" x14ac:dyDescent="0.25">
      <c r="A108" t="s">
        <v>110</v>
      </c>
      <c r="B108">
        <f t="shared" si="3"/>
        <v>45</v>
      </c>
      <c r="C108" t="str">
        <f t="shared" si="4"/>
        <v>03</v>
      </c>
      <c r="D108" t="str">
        <f t="shared" si="5"/>
        <v>A</v>
      </c>
      <c r="I108">
        <v>73</v>
      </c>
      <c r="J108" s="4">
        <v>2</v>
      </c>
      <c r="K108">
        <v>115</v>
      </c>
    </row>
    <row r="109" spans="1:11" x14ac:dyDescent="0.25">
      <c r="A109" t="s">
        <v>111</v>
      </c>
      <c r="B109">
        <f t="shared" si="3"/>
        <v>52</v>
      </c>
      <c r="C109" t="str">
        <f t="shared" si="4"/>
        <v>03</v>
      </c>
      <c r="D109" t="str">
        <f t="shared" si="5"/>
        <v>A</v>
      </c>
      <c r="I109">
        <v>45</v>
      </c>
      <c r="J109" s="4">
        <v>2</v>
      </c>
      <c r="K109">
        <v>29</v>
      </c>
    </row>
    <row r="110" spans="1:11" x14ac:dyDescent="0.25">
      <c r="A110" t="s">
        <v>112</v>
      </c>
      <c r="B110">
        <f t="shared" si="3"/>
        <v>53</v>
      </c>
      <c r="C110" t="str">
        <f t="shared" si="4"/>
        <v>03</v>
      </c>
      <c r="D110" t="str">
        <f t="shared" si="5"/>
        <v>A</v>
      </c>
      <c r="J110" s="3"/>
      <c r="K110">
        <v>34</v>
      </c>
    </row>
    <row r="111" spans="1:11" x14ac:dyDescent="0.25">
      <c r="A111" t="s">
        <v>113</v>
      </c>
      <c r="B111">
        <f t="shared" si="3"/>
        <v>53</v>
      </c>
      <c r="C111" t="str">
        <f t="shared" si="4"/>
        <v>03</v>
      </c>
      <c r="D111" t="str">
        <f t="shared" si="5"/>
        <v>A</v>
      </c>
      <c r="I111">
        <v>38</v>
      </c>
      <c r="J111" s="4">
        <v>2</v>
      </c>
      <c r="K111">
        <v>30</v>
      </c>
    </row>
    <row r="112" spans="1:11" x14ac:dyDescent="0.25">
      <c r="A112" t="s">
        <v>114</v>
      </c>
      <c r="B112">
        <f t="shared" si="3"/>
        <v>60</v>
      </c>
      <c r="C112" t="str">
        <f t="shared" si="4"/>
        <v>03</v>
      </c>
      <c r="D112" t="str">
        <f t="shared" si="5"/>
        <v>A</v>
      </c>
      <c r="J112" s="3"/>
      <c r="K112">
        <v>86</v>
      </c>
    </row>
    <row r="113" spans="1:11" x14ac:dyDescent="0.25">
      <c r="A113" t="s">
        <v>115</v>
      </c>
      <c r="B113">
        <f t="shared" si="3"/>
        <v>2</v>
      </c>
      <c r="C113" t="str">
        <f t="shared" si="4"/>
        <v>04</v>
      </c>
      <c r="D113" t="str">
        <f t="shared" si="5"/>
        <v>A</v>
      </c>
      <c r="I113">
        <v>141</v>
      </c>
      <c r="J113" s="4">
        <v>1</v>
      </c>
      <c r="K113">
        <v>77</v>
      </c>
    </row>
    <row r="114" spans="1:11" x14ac:dyDescent="0.25">
      <c r="A114" t="s">
        <v>116</v>
      </c>
      <c r="B114">
        <f t="shared" si="3"/>
        <v>3</v>
      </c>
      <c r="C114" t="str">
        <f t="shared" si="4"/>
        <v>04</v>
      </c>
      <c r="D114" t="str">
        <f t="shared" si="5"/>
        <v>A</v>
      </c>
      <c r="I114">
        <v>330</v>
      </c>
      <c r="J114" s="4">
        <v>2</v>
      </c>
      <c r="K114">
        <v>233</v>
      </c>
    </row>
    <row r="115" spans="1:11" x14ac:dyDescent="0.25">
      <c r="A115" t="s">
        <v>117</v>
      </c>
      <c r="B115">
        <f t="shared" si="3"/>
        <v>3</v>
      </c>
      <c r="C115" t="str">
        <f t="shared" si="4"/>
        <v>04</v>
      </c>
      <c r="D115" t="str">
        <f t="shared" si="5"/>
        <v>A</v>
      </c>
      <c r="I115">
        <v>82</v>
      </c>
      <c r="J115" s="4">
        <v>1</v>
      </c>
      <c r="K115">
        <v>39</v>
      </c>
    </row>
    <row r="116" spans="1:11" x14ac:dyDescent="0.25">
      <c r="A116" t="s">
        <v>118</v>
      </c>
      <c r="B116">
        <f t="shared" si="3"/>
        <v>5</v>
      </c>
      <c r="C116" t="str">
        <f t="shared" si="4"/>
        <v>04</v>
      </c>
      <c r="D116" t="str">
        <f t="shared" si="5"/>
        <v>A</v>
      </c>
      <c r="I116">
        <v>0</v>
      </c>
      <c r="J116" s="4">
        <v>0</v>
      </c>
      <c r="K116">
        <v>526</v>
      </c>
    </row>
    <row r="117" spans="1:11" x14ac:dyDescent="0.25">
      <c r="A117" t="s">
        <v>119</v>
      </c>
      <c r="B117">
        <f t="shared" si="3"/>
        <v>8</v>
      </c>
      <c r="C117" t="str">
        <f t="shared" si="4"/>
        <v>04</v>
      </c>
      <c r="D117" t="str">
        <f t="shared" si="5"/>
        <v>A</v>
      </c>
      <c r="I117">
        <v>0</v>
      </c>
      <c r="J117" s="4">
        <v>0</v>
      </c>
      <c r="K117">
        <v>628</v>
      </c>
    </row>
    <row r="118" spans="1:11" x14ac:dyDescent="0.25">
      <c r="A118" t="s">
        <v>120</v>
      </c>
      <c r="B118">
        <f t="shared" si="3"/>
        <v>8</v>
      </c>
      <c r="C118" t="str">
        <f t="shared" si="4"/>
        <v>04</v>
      </c>
      <c r="D118" t="str">
        <f t="shared" si="5"/>
        <v>A</v>
      </c>
      <c r="I118">
        <v>90</v>
      </c>
      <c r="J118" s="4">
        <v>1</v>
      </c>
      <c r="K118">
        <v>792</v>
      </c>
    </row>
    <row r="119" spans="1:11" x14ac:dyDescent="0.25">
      <c r="A119" t="s">
        <v>121</v>
      </c>
      <c r="B119">
        <f t="shared" si="3"/>
        <v>10</v>
      </c>
      <c r="C119" t="str">
        <f t="shared" si="4"/>
        <v>04</v>
      </c>
      <c r="D119" t="str">
        <f t="shared" si="5"/>
        <v>A</v>
      </c>
      <c r="I119">
        <v>300</v>
      </c>
      <c r="J119" s="4">
        <v>2</v>
      </c>
      <c r="K119">
        <v>597</v>
      </c>
    </row>
    <row r="120" spans="1:11" x14ac:dyDescent="0.25">
      <c r="A120" t="s">
        <v>122</v>
      </c>
      <c r="B120">
        <f t="shared" si="3"/>
        <v>13</v>
      </c>
      <c r="C120" t="str">
        <f t="shared" si="4"/>
        <v>04</v>
      </c>
      <c r="D120" t="str">
        <f t="shared" si="5"/>
        <v>A</v>
      </c>
      <c r="I120">
        <v>73</v>
      </c>
      <c r="J120" s="4">
        <v>1</v>
      </c>
      <c r="K120">
        <v>239</v>
      </c>
    </row>
    <row r="121" spans="1:11" x14ac:dyDescent="0.25">
      <c r="A121" t="s">
        <v>123</v>
      </c>
      <c r="B121">
        <f t="shared" si="3"/>
        <v>14</v>
      </c>
      <c r="C121" t="str">
        <f t="shared" si="4"/>
        <v>04</v>
      </c>
      <c r="D121" t="str">
        <f t="shared" si="5"/>
        <v>A</v>
      </c>
      <c r="I121">
        <v>38</v>
      </c>
      <c r="J121" s="4">
        <v>1</v>
      </c>
      <c r="K121">
        <v>194</v>
      </c>
    </row>
    <row r="122" spans="1:11" x14ac:dyDescent="0.25">
      <c r="A122" t="s">
        <v>124</v>
      </c>
      <c r="B122">
        <f t="shared" si="3"/>
        <v>17</v>
      </c>
      <c r="C122" t="str">
        <f t="shared" si="4"/>
        <v>04</v>
      </c>
      <c r="D122" t="str">
        <f t="shared" si="5"/>
        <v>A</v>
      </c>
      <c r="I122">
        <v>91</v>
      </c>
      <c r="J122" s="4">
        <v>0</v>
      </c>
      <c r="K122">
        <v>558</v>
      </c>
    </row>
    <row r="123" spans="1:11" x14ac:dyDescent="0.25">
      <c r="A123" t="s">
        <v>125</v>
      </c>
      <c r="B123">
        <f t="shared" si="3"/>
        <v>17</v>
      </c>
      <c r="C123" t="str">
        <f t="shared" si="4"/>
        <v>04</v>
      </c>
      <c r="D123" t="str">
        <f t="shared" si="5"/>
        <v>A</v>
      </c>
      <c r="I123">
        <v>299</v>
      </c>
      <c r="J123" s="4">
        <v>2</v>
      </c>
      <c r="K123">
        <v>48</v>
      </c>
    </row>
    <row r="124" spans="1:11" x14ac:dyDescent="0.25">
      <c r="A124" t="s">
        <v>126</v>
      </c>
      <c r="B124">
        <f t="shared" si="3"/>
        <v>20</v>
      </c>
      <c r="C124" t="str">
        <f t="shared" si="4"/>
        <v>04</v>
      </c>
      <c r="D124" t="str">
        <f t="shared" si="5"/>
        <v>A</v>
      </c>
      <c r="J124" s="3"/>
      <c r="K124">
        <v>6</v>
      </c>
    </row>
    <row r="125" spans="1:11" x14ac:dyDescent="0.25">
      <c r="A125" t="s">
        <v>127</v>
      </c>
      <c r="B125">
        <f t="shared" si="3"/>
        <v>21</v>
      </c>
      <c r="C125" t="str">
        <f t="shared" si="4"/>
        <v>04</v>
      </c>
      <c r="D125" t="str">
        <f t="shared" si="5"/>
        <v>A</v>
      </c>
      <c r="I125">
        <v>384</v>
      </c>
      <c r="J125" s="4">
        <v>1</v>
      </c>
      <c r="K125">
        <v>729</v>
      </c>
    </row>
    <row r="126" spans="1:11" x14ac:dyDescent="0.25">
      <c r="A126" t="s">
        <v>128</v>
      </c>
      <c r="B126">
        <f t="shared" si="3"/>
        <v>22</v>
      </c>
      <c r="C126" t="str">
        <f t="shared" si="4"/>
        <v>04</v>
      </c>
      <c r="D126" t="str">
        <f t="shared" si="5"/>
        <v>A</v>
      </c>
      <c r="I126">
        <v>294</v>
      </c>
      <c r="J126" s="4">
        <v>0</v>
      </c>
      <c r="K126">
        <v>332</v>
      </c>
    </row>
    <row r="127" spans="1:11" x14ac:dyDescent="0.25">
      <c r="A127" t="s">
        <v>129</v>
      </c>
      <c r="B127">
        <f t="shared" si="3"/>
        <v>22</v>
      </c>
      <c r="C127" t="str">
        <f t="shared" si="4"/>
        <v>04</v>
      </c>
      <c r="D127" t="str">
        <f t="shared" si="5"/>
        <v>B</v>
      </c>
      <c r="J127" s="3"/>
      <c r="K127">
        <v>212</v>
      </c>
    </row>
    <row r="128" spans="1:11" x14ac:dyDescent="0.25">
      <c r="A128" t="s">
        <v>130</v>
      </c>
      <c r="B128">
        <f t="shared" si="3"/>
        <v>22</v>
      </c>
      <c r="C128" t="str">
        <f t="shared" si="4"/>
        <v>04</v>
      </c>
      <c r="D128" t="str">
        <f t="shared" si="5"/>
        <v>A</v>
      </c>
      <c r="I128">
        <v>206</v>
      </c>
      <c r="J128" s="4">
        <v>2</v>
      </c>
      <c r="K128">
        <v>358</v>
      </c>
    </row>
    <row r="129" spans="1:11" x14ac:dyDescent="0.25">
      <c r="A129" t="s">
        <v>131</v>
      </c>
      <c r="B129">
        <f t="shared" si="3"/>
        <v>24</v>
      </c>
      <c r="C129" t="str">
        <f t="shared" si="4"/>
        <v>04</v>
      </c>
      <c r="D129" t="str">
        <f t="shared" si="5"/>
        <v>A</v>
      </c>
      <c r="I129">
        <v>178</v>
      </c>
      <c r="J129" s="4">
        <v>1</v>
      </c>
      <c r="K129">
        <v>102</v>
      </c>
    </row>
    <row r="130" spans="1:11" x14ac:dyDescent="0.25">
      <c r="A130" t="s">
        <v>132</v>
      </c>
      <c r="B130">
        <f t="shared" si="3"/>
        <v>31</v>
      </c>
      <c r="C130" t="str">
        <f t="shared" si="4"/>
        <v>04</v>
      </c>
      <c r="D130" t="str">
        <f t="shared" si="5"/>
        <v>A</v>
      </c>
      <c r="I130">
        <v>318</v>
      </c>
      <c r="J130" s="4">
        <v>2</v>
      </c>
      <c r="K130">
        <v>89</v>
      </c>
    </row>
    <row r="131" spans="1:11" x14ac:dyDescent="0.25">
      <c r="A131" t="s">
        <v>133</v>
      </c>
      <c r="B131">
        <f t="shared" ref="B131:B194" si="6">MID(A131,4,2)+0</f>
        <v>31</v>
      </c>
      <c r="C131" t="str">
        <f t="shared" ref="C131:C194" si="7">LEFT(A131,2)</f>
        <v>04</v>
      </c>
      <c r="D131" t="str">
        <f t="shared" ref="D131:D194" si="8">RIGHT(A131)</f>
        <v>A</v>
      </c>
      <c r="I131">
        <v>149</v>
      </c>
      <c r="J131" s="4">
        <v>1</v>
      </c>
      <c r="K131">
        <v>101</v>
      </c>
    </row>
    <row r="132" spans="1:11" x14ac:dyDescent="0.25">
      <c r="A132" t="s">
        <v>134</v>
      </c>
      <c r="B132">
        <f t="shared" si="6"/>
        <v>38</v>
      </c>
      <c r="C132" t="str">
        <f t="shared" si="7"/>
        <v>04</v>
      </c>
      <c r="D132" t="str">
        <f t="shared" si="8"/>
        <v>A</v>
      </c>
      <c r="I132">
        <v>250</v>
      </c>
      <c r="J132" s="4">
        <v>2</v>
      </c>
      <c r="K132">
        <v>117</v>
      </c>
    </row>
    <row r="133" spans="1:11" x14ac:dyDescent="0.25">
      <c r="A133" t="s">
        <v>135</v>
      </c>
      <c r="B133">
        <f t="shared" si="6"/>
        <v>38</v>
      </c>
      <c r="C133" t="str">
        <f t="shared" si="7"/>
        <v>04</v>
      </c>
      <c r="D133" t="str">
        <f t="shared" si="8"/>
        <v>A</v>
      </c>
      <c r="I133">
        <v>155</v>
      </c>
      <c r="J133" s="4">
        <v>2</v>
      </c>
      <c r="K133">
        <v>102</v>
      </c>
    </row>
    <row r="134" spans="1:11" x14ac:dyDescent="0.25">
      <c r="A134" t="s">
        <v>136</v>
      </c>
      <c r="B134">
        <f t="shared" si="6"/>
        <v>38</v>
      </c>
      <c r="C134" t="str">
        <f t="shared" si="7"/>
        <v>04</v>
      </c>
      <c r="D134" t="str">
        <f t="shared" si="8"/>
        <v>B</v>
      </c>
      <c r="I134">
        <v>172</v>
      </c>
      <c r="J134" s="4">
        <v>2</v>
      </c>
      <c r="K134">
        <v>61</v>
      </c>
    </row>
    <row r="135" spans="1:11" x14ac:dyDescent="0.25">
      <c r="A135" t="s">
        <v>137</v>
      </c>
      <c r="B135">
        <f t="shared" si="6"/>
        <v>43</v>
      </c>
      <c r="C135" t="str">
        <f t="shared" si="7"/>
        <v>04</v>
      </c>
      <c r="D135" t="str">
        <f t="shared" si="8"/>
        <v>A</v>
      </c>
      <c r="I135">
        <v>123</v>
      </c>
      <c r="J135" s="4">
        <v>2</v>
      </c>
      <c r="K135">
        <v>111</v>
      </c>
    </row>
    <row r="136" spans="1:11" x14ac:dyDescent="0.25">
      <c r="A136" t="s">
        <v>138</v>
      </c>
      <c r="B136">
        <f t="shared" si="6"/>
        <v>46</v>
      </c>
      <c r="C136" t="str">
        <f t="shared" si="7"/>
        <v>04</v>
      </c>
      <c r="D136" t="str">
        <f t="shared" si="8"/>
        <v>A</v>
      </c>
      <c r="I136">
        <v>225</v>
      </c>
      <c r="J136" s="4">
        <v>2</v>
      </c>
      <c r="K136">
        <v>312</v>
      </c>
    </row>
    <row r="137" spans="1:11" x14ac:dyDescent="0.25">
      <c r="A137" t="s">
        <v>139</v>
      </c>
      <c r="B137">
        <f t="shared" si="6"/>
        <v>52</v>
      </c>
      <c r="C137" t="str">
        <f t="shared" si="7"/>
        <v>04</v>
      </c>
      <c r="D137" t="str">
        <f t="shared" si="8"/>
        <v>A</v>
      </c>
      <c r="I137">
        <v>161</v>
      </c>
      <c r="J137" s="4">
        <v>2</v>
      </c>
      <c r="K137">
        <v>97</v>
      </c>
    </row>
    <row r="138" spans="1:11" x14ac:dyDescent="0.25">
      <c r="A138" t="s">
        <v>140</v>
      </c>
      <c r="B138">
        <f t="shared" si="6"/>
        <v>52</v>
      </c>
      <c r="C138" t="str">
        <f t="shared" si="7"/>
        <v>04</v>
      </c>
      <c r="D138" t="str">
        <f t="shared" si="8"/>
        <v>A</v>
      </c>
      <c r="I138">
        <v>60</v>
      </c>
      <c r="J138" s="4">
        <v>2</v>
      </c>
      <c r="K138">
        <v>96</v>
      </c>
    </row>
    <row r="139" spans="1:11" x14ac:dyDescent="0.25">
      <c r="A139" t="s">
        <v>141</v>
      </c>
      <c r="B139">
        <f t="shared" si="6"/>
        <v>53</v>
      </c>
      <c r="C139" t="str">
        <f t="shared" si="7"/>
        <v>04</v>
      </c>
      <c r="D139" t="str">
        <f t="shared" si="8"/>
        <v>A</v>
      </c>
      <c r="J139" s="3"/>
      <c r="K139">
        <v>97</v>
      </c>
    </row>
    <row r="140" spans="1:11" x14ac:dyDescent="0.25">
      <c r="A140" t="s">
        <v>142</v>
      </c>
      <c r="B140">
        <f t="shared" si="6"/>
        <v>58</v>
      </c>
      <c r="C140" t="str">
        <f t="shared" si="7"/>
        <v>04</v>
      </c>
      <c r="D140" t="str">
        <f t="shared" si="8"/>
        <v>A</v>
      </c>
      <c r="J140" s="3"/>
      <c r="K140">
        <v>84</v>
      </c>
    </row>
    <row r="141" spans="1:11" x14ac:dyDescent="0.25">
      <c r="A141" t="s">
        <v>143</v>
      </c>
      <c r="B141">
        <f t="shared" si="6"/>
        <v>58</v>
      </c>
      <c r="C141" t="str">
        <f t="shared" si="7"/>
        <v>04</v>
      </c>
      <c r="D141" t="str">
        <f t="shared" si="8"/>
        <v>B</v>
      </c>
      <c r="J141" s="3"/>
      <c r="K141">
        <v>84</v>
      </c>
    </row>
    <row r="142" spans="1:11" x14ac:dyDescent="0.25">
      <c r="A142" t="s">
        <v>144</v>
      </c>
      <c r="B142">
        <f t="shared" si="6"/>
        <v>60</v>
      </c>
      <c r="C142" t="str">
        <f t="shared" si="7"/>
        <v>04</v>
      </c>
      <c r="D142" t="str">
        <f t="shared" si="8"/>
        <v>A</v>
      </c>
      <c r="J142" s="3"/>
      <c r="K142">
        <v>92</v>
      </c>
    </row>
    <row r="143" spans="1:11" x14ac:dyDescent="0.25">
      <c r="A143" t="s">
        <v>145</v>
      </c>
      <c r="B143">
        <f t="shared" si="6"/>
        <v>62</v>
      </c>
      <c r="C143" t="str">
        <f t="shared" si="7"/>
        <v>04</v>
      </c>
      <c r="D143" t="str">
        <f t="shared" si="8"/>
        <v>A</v>
      </c>
      <c r="J143" s="3"/>
      <c r="K143">
        <v>27</v>
      </c>
    </row>
    <row r="144" spans="1:11" x14ac:dyDescent="0.25">
      <c r="A144" t="s">
        <v>146</v>
      </c>
      <c r="B144">
        <f t="shared" si="6"/>
        <v>65</v>
      </c>
      <c r="C144" t="str">
        <f t="shared" si="7"/>
        <v>04</v>
      </c>
      <c r="D144" t="str">
        <f t="shared" si="8"/>
        <v>A</v>
      </c>
      <c r="J144" s="3"/>
      <c r="K144">
        <v>3</v>
      </c>
    </row>
    <row r="145" spans="1:11" x14ac:dyDescent="0.25">
      <c r="A145" t="s">
        <v>147</v>
      </c>
      <c r="B145">
        <f t="shared" si="6"/>
        <v>69</v>
      </c>
      <c r="C145" t="str">
        <f t="shared" si="7"/>
        <v>04</v>
      </c>
      <c r="D145" t="str">
        <f t="shared" si="8"/>
        <v>A</v>
      </c>
      <c r="J145" s="3"/>
      <c r="K145">
        <v>36</v>
      </c>
    </row>
    <row r="146" spans="1:11" x14ac:dyDescent="0.25">
      <c r="A146" t="s">
        <v>148</v>
      </c>
      <c r="B146">
        <f t="shared" si="6"/>
        <v>71</v>
      </c>
      <c r="C146" t="str">
        <f t="shared" si="7"/>
        <v>04</v>
      </c>
      <c r="D146" t="str">
        <f t="shared" si="8"/>
        <v>A</v>
      </c>
      <c r="J146" s="3"/>
      <c r="K146">
        <v>44</v>
      </c>
    </row>
    <row r="147" spans="1:11" x14ac:dyDescent="0.25">
      <c r="A147" t="s">
        <v>149</v>
      </c>
      <c r="B147">
        <f t="shared" si="6"/>
        <v>75</v>
      </c>
      <c r="C147" t="str">
        <f t="shared" si="7"/>
        <v>04</v>
      </c>
      <c r="D147" t="str">
        <f t="shared" si="8"/>
        <v>A</v>
      </c>
      <c r="J147" s="3"/>
      <c r="K147">
        <v>22</v>
      </c>
    </row>
    <row r="148" spans="1:11" x14ac:dyDescent="0.25">
      <c r="A148" t="s">
        <v>150</v>
      </c>
      <c r="B148">
        <f t="shared" si="6"/>
        <v>77</v>
      </c>
      <c r="C148" t="str">
        <f t="shared" si="7"/>
        <v>04</v>
      </c>
      <c r="D148" t="str">
        <f t="shared" si="8"/>
        <v>A</v>
      </c>
      <c r="J148" s="3"/>
      <c r="K148">
        <v>13</v>
      </c>
    </row>
    <row r="149" spans="1:11" x14ac:dyDescent="0.25">
      <c r="A149" t="s">
        <v>151</v>
      </c>
      <c r="B149">
        <f t="shared" si="6"/>
        <v>77</v>
      </c>
      <c r="C149" t="str">
        <f t="shared" si="7"/>
        <v>04</v>
      </c>
      <c r="D149" t="str">
        <f t="shared" si="8"/>
        <v>B</v>
      </c>
      <c r="J149" s="3"/>
      <c r="K149">
        <v>1</v>
      </c>
    </row>
    <row r="150" spans="1:11" x14ac:dyDescent="0.25">
      <c r="A150" t="s">
        <v>152</v>
      </c>
      <c r="B150">
        <f t="shared" si="6"/>
        <v>79</v>
      </c>
      <c r="C150" t="str">
        <f t="shared" si="7"/>
        <v>04</v>
      </c>
      <c r="D150" t="str">
        <f t="shared" si="8"/>
        <v>A</v>
      </c>
      <c r="J150" s="3"/>
      <c r="K150">
        <v>19</v>
      </c>
    </row>
    <row r="151" spans="1:11" x14ac:dyDescent="0.25">
      <c r="A151" t="s">
        <v>153</v>
      </c>
      <c r="B151">
        <f t="shared" si="6"/>
        <v>80</v>
      </c>
      <c r="C151" t="str">
        <f t="shared" si="7"/>
        <v>04</v>
      </c>
      <c r="D151" t="str">
        <f t="shared" si="8"/>
        <v>A</v>
      </c>
      <c r="J151" s="3"/>
      <c r="K151">
        <v>12</v>
      </c>
    </row>
    <row r="152" spans="1:11" x14ac:dyDescent="0.25">
      <c r="A152" t="s">
        <v>154</v>
      </c>
      <c r="B152">
        <f t="shared" si="6"/>
        <v>24</v>
      </c>
      <c r="C152" t="str">
        <f t="shared" si="7"/>
        <v>05</v>
      </c>
      <c r="D152" t="str">
        <f t="shared" si="8"/>
        <v>A</v>
      </c>
      <c r="I152">
        <v>85</v>
      </c>
      <c r="J152" s="4">
        <v>2</v>
      </c>
      <c r="K152">
        <v>246</v>
      </c>
    </row>
    <row r="153" spans="1:11" x14ac:dyDescent="0.25">
      <c r="A153" t="s">
        <v>155</v>
      </c>
      <c r="B153">
        <f t="shared" si="6"/>
        <v>24</v>
      </c>
      <c r="C153" t="str">
        <f t="shared" si="7"/>
        <v>05</v>
      </c>
      <c r="D153" t="str">
        <f t="shared" si="8"/>
        <v>A</v>
      </c>
      <c r="I153">
        <v>169</v>
      </c>
      <c r="J153" s="4">
        <v>2</v>
      </c>
      <c r="K153">
        <v>290</v>
      </c>
    </row>
    <row r="154" spans="1:11" x14ac:dyDescent="0.25">
      <c r="A154" t="s">
        <v>156</v>
      </c>
      <c r="B154">
        <f t="shared" si="6"/>
        <v>31</v>
      </c>
      <c r="C154" t="str">
        <f t="shared" si="7"/>
        <v>05</v>
      </c>
      <c r="D154" t="str">
        <f t="shared" si="8"/>
        <v>A</v>
      </c>
      <c r="I154">
        <v>332</v>
      </c>
      <c r="J154" s="4">
        <v>1</v>
      </c>
      <c r="K154">
        <v>206</v>
      </c>
    </row>
    <row r="155" spans="1:11" x14ac:dyDescent="0.25">
      <c r="A155" t="s">
        <v>157</v>
      </c>
      <c r="B155">
        <f t="shared" si="6"/>
        <v>31</v>
      </c>
      <c r="C155" t="str">
        <f t="shared" si="7"/>
        <v>05</v>
      </c>
      <c r="D155" t="str">
        <f t="shared" si="8"/>
        <v>A</v>
      </c>
      <c r="I155">
        <v>86</v>
      </c>
      <c r="J155" s="4">
        <v>2</v>
      </c>
      <c r="K155">
        <v>108</v>
      </c>
    </row>
    <row r="156" spans="1:11" x14ac:dyDescent="0.25">
      <c r="A156" t="s">
        <v>158</v>
      </c>
      <c r="B156">
        <f t="shared" si="6"/>
        <v>40</v>
      </c>
      <c r="C156" t="str">
        <f t="shared" si="7"/>
        <v>05</v>
      </c>
      <c r="D156" t="str">
        <f t="shared" si="8"/>
        <v>A</v>
      </c>
      <c r="I156">
        <v>429</v>
      </c>
      <c r="J156" s="4">
        <v>2</v>
      </c>
      <c r="K156">
        <v>333</v>
      </c>
    </row>
    <row r="157" spans="1:11" x14ac:dyDescent="0.25">
      <c r="A157" t="s">
        <v>159</v>
      </c>
      <c r="B157">
        <f t="shared" si="6"/>
        <v>45</v>
      </c>
      <c r="C157" t="str">
        <f t="shared" si="7"/>
        <v>05</v>
      </c>
      <c r="D157" t="str">
        <f t="shared" si="8"/>
        <v>A</v>
      </c>
      <c r="I157">
        <v>254</v>
      </c>
      <c r="J157" s="4">
        <v>1</v>
      </c>
      <c r="K157">
        <v>91</v>
      </c>
    </row>
    <row r="158" spans="1:11" x14ac:dyDescent="0.25">
      <c r="A158" t="s">
        <v>160</v>
      </c>
      <c r="B158">
        <f t="shared" si="6"/>
        <v>45</v>
      </c>
      <c r="C158" t="str">
        <f t="shared" si="7"/>
        <v>05</v>
      </c>
      <c r="D158" t="str">
        <f t="shared" si="8"/>
        <v>A</v>
      </c>
      <c r="I158">
        <v>60</v>
      </c>
      <c r="J158" s="4">
        <v>2</v>
      </c>
      <c r="K158">
        <v>3</v>
      </c>
    </row>
    <row r="159" spans="1:11" x14ac:dyDescent="0.25">
      <c r="A159" t="s">
        <v>161</v>
      </c>
      <c r="B159">
        <f t="shared" si="6"/>
        <v>52</v>
      </c>
      <c r="C159" t="str">
        <f t="shared" si="7"/>
        <v>05</v>
      </c>
      <c r="D159" t="str">
        <f t="shared" si="8"/>
        <v>A</v>
      </c>
      <c r="I159">
        <v>140</v>
      </c>
      <c r="J159" s="4">
        <v>1</v>
      </c>
      <c r="K159">
        <v>134</v>
      </c>
    </row>
    <row r="160" spans="1:11" x14ac:dyDescent="0.25">
      <c r="A160" t="s">
        <v>162</v>
      </c>
      <c r="B160">
        <f t="shared" si="6"/>
        <v>54</v>
      </c>
      <c r="C160" t="str">
        <f t="shared" si="7"/>
        <v>05</v>
      </c>
      <c r="D160" t="str">
        <f t="shared" si="8"/>
        <v>A</v>
      </c>
      <c r="I160">
        <v>144</v>
      </c>
      <c r="J160" s="4">
        <v>2</v>
      </c>
      <c r="K160">
        <v>28</v>
      </c>
    </row>
    <row r="161" spans="1:11" x14ac:dyDescent="0.25">
      <c r="A161" t="s">
        <v>163</v>
      </c>
      <c r="B161">
        <f t="shared" si="6"/>
        <v>55</v>
      </c>
      <c r="C161" t="str">
        <f t="shared" si="7"/>
        <v>05</v>
      </c>
      <c r="D161" t="str">
        <f t="shared" si="8"/>
        <v>A</v>
      </c>
      <c r="J161" s="3"/>
      <c r="K161">
        <v>43</v>
      </c>
    </row>
    <row r="162" spans="1:11" x14ac:dyDescent="0.25">
      <c r="A162" t="s">
        <v>164</v>
      </c>
      <c r="B162">
        <f t="shared" si="6"/>
        <v>61</v>
      </c>
      <c r="C162" t="str">
        <f t="shared" si="7"/>
        <v>05</v>
      </c>
      <c r="D162" t="str">
        <f t="shared" si="8"/>
        <v>A</v>
      </c>
      <c r="J162" s="3"/>
      <c r="K162">
        <v>825</v>
      </c>
    </row>
    <row r="163" spans="1:11" x14ac:dyDescent="0.25">
      <c r="A163" t="s">
        <v>165</v>
      </c>
      <c r="B163">
        <f t="shared" si="6"/>
        <v>61</v>
      </c>
      <c r="C163" t="str">
        <f t="shared" si="7"/>
        <v>05</v>
      </c>
      <c r="D163" t="str">
        <f t="shared" si="8"/>
        <v>B</v>
      </c>
      <c r="J163" s="3"/>
      <c r="K163">
        <v>74</v>
      </c>
    </row>
    <row r="164" spans="1:11" x14ac:dyDescent="0.25">
      <c r="A164" t="s">
        <v>166</v>
      </c>
      <c r="B164">
        <f t="shared" si="6"/>
        <v>61</v>
      </c>
      <c r="C164" t="str">
        <f t="shared" si="7"/>
        <v>05</v>
      </c>
      <c r="D164" t="str">
        <f t="shared" si="8"/>
        <v>A</v>
      </c>
      <c r="J164" s="3"/>
      <c r="K164">
        <v>71</v>
      </c>
    </row>
    <row r="165" spans="1:11" x14ac:dyDescent="0.25">
      <c r="A165" t="s">
        <v>167</v>
      </c>
      <c r="B165">
        <f t="shared" si="6"/>
        <v>70</v>
      </c>
      <c r="C165" t="str">
        <f t="shared" si="7"/>
        <v>05</v>
      </c>
      <c r="D165" t="str">
        <f t="shared" si="8"/>
        <v>A</v>
      </c>
      <c r="J165" s="3"/>
      <c r="K165">
        <v>283</v>
      </c>
    </row>
    <row r="166" spans="1:11" x14ac:dyDescent="0.25">
      <c r="A166" t="s">
        <v>168</v>
      </c>
      <c r="B166">
        <f t="shared" si="6"/>
        <v>76</v>
      </c>
      <c r="C166" t="str">
        <f t="shared" si="7"/>
        <v>05</v>
      </c>
      <c r="D166" t="str">
        <f t="shared" si="8"/>
        <v>A</v>
      </c>
      <c r="J166" s="3"/>
      <c r="K166">
        <v>104</v>
      </c>
    </row>
    <row r="167" spans="1:11" x14ac:dyDescent="0.25">
      <c r="A167" t="s">
        <v>169</v>
      </c>
      <c r="B167">
        <f t="shared" si="6"/>
        <v>82</v>
      </c>
      <c r="C167" t="str">
        <f t="shared" si="7"/>
        <v>05</v>
      </c>
      <c r="D167" t="str">
        <f t="shared" si="8"/>
        <v>A</v>
      </c>
      <c r="J167" s="3"/>
      <c r="K167">
        <v>69</v>
      </c>
    </row>
    <row r="168" spans="1:11" x14ac:dyDescent="0.25">
      <c r="A168" t="s">
        <v>170</v>
      </c>
      <c r="B168">
        <f t="shared" si="6"/>
        <v>84</v>
      </c>
      <c r="C168" t="str">
        <f t="shared" si="7"/>
        <v>05</v>
      </c>
      <c r="D168" t="str">
        <f t="shared" si="8"/>
        <v>A</v>
      </c>
      <c r="J168" s="3"/>
      <c r="K168">
        <v>14</v>
      </c>
    </row>
    <row r="169" spans="1:11" x14ac:dyDescent="0.25">
      <c r="A169" t="s">
        <v>171</v>
      </c>
      <c r="B169">
        <f t="shared" si="6"/>
        <v>1</v>
      </c>
      <c r="C169" t="str">
        <f t="shared" si="7"/>
        <v>06</v>
      </c>
      <c r="D169" t="str">
        <f t="shared" si="8"/>
        <v>A</v>
      </c>
      <c r="I169">
        <v>73</v>
      </c>
      <c r="J169" s="4">
        <v>1</v>
      </c>
      <c r="K169">
        <v>67</v>
      </c>
    </row>
    <row r="170" spans="1:11" x14ac:dyDescent="0.25">
      <c r="A170" t="s">
        <v>172</v>
      </c>
      <c r="B170">
        <f t="shared" si="6"/>
        <v>11</v>
      </c>
      <c r="C170" t="str">
        <f t="shared" si="7"/>
        <v>06</v>
      </c>
      <c r="D170" t="str">
        <f t="shared" si="8"/>
        <v>B</v>
      </c>
      <c r="J170" s="3"/>
      <c r="K170">
        <v>266</v>
      </c>
    </row>
    <row r="171" spans="1:11" x14ac:dyDescent="0.25">
      <c r="A171" t="s">
        <v>173</v>
      </c>
      <c r="B171">
        <f t="shared" si="6"/>
        <v>12</v>
      </c>
      <c r="C171" t="str">
        <f t="shared" si="7"/>
        <v>06</v>
      </c>
      <c r="D171" t="str">
        <f t="shared" si="8"/>
        <v>A</v>
      </c>
      <c r="I171">
        <v>56</v>
      </c>
      <c r="J171" s="4">
        <v>1</v>
      </c>
      <c r="K171">
        <v>58</v>
      </c>
    </row>
    <row r="172" spans="1:11" x14ac:dyDescent="0.25">
      <c r="A172" t="s">
        <v>174</v>
      </c>
      <c r="B172">
        <f t="shared" si="6"/>
        <v>14</v>
      </c>
      <c r="C172" t="str">
        <f t="shared" si="7"/>
        <v>06</v>
      </c>
      <c r="D172" t="str">
        <f t="shared" si="8"/>
        <v>B</v>
      </c>
      <c r="J172" s="3"/>
      <c r="K172">
        <v>100</v>
      </c>
    </row>
    <row r="173" spans="1:11" x14ac:dyDescent="0.25">
      <c r="A173" t="s">
        <v>175</v>
      </c>
      <c r="B173">
        <f t="shared" si="6"/>
        <v>14</v>
      </c>
      <c r="C173" t="str">
        <f t="shared" si="7"/>
        <v>06</v>
      </c>
      <c r="D173" t="str">
        <f t="shared" si="8"/>
        <v>A</v>
      </c>
      <c r="I173">
        <v>160</v>
      </c>
      <c r="J173" s="4">
        <v>0</v>
      </c>
      <c r="K173">
        <v>101</v>
      </c>
    </row>
    <row r="174" spans="1:11" x14ac:dyDescent="0.25">
      <c r="A174" t="s">
        <v>176</v>
      </c>
      <c r="B174">
        <f t="shared" si="6"/>
        <v>17</v>
      </c>
      <c r="C174" t="str">
        <f t="shared" si="7"/>
        <v>06</v>
      </c>
      <c r="D174" t="str">
        <f t="shared" si="8"/>
        <v>A</v>
      </c>
      <c r="I174">
        <v>99</v>
      </c>
      <c r="J174" s="4">
        <v>2</v>
      </c>
      <c r="K174">
        <v>190</v>
      </c>
    </row>
    <row r="175" spans="1:11" x14ac:dyDescent="0.25">
      <c r="A175" t="s">
        <v>177</v>
      </c>
      <c r="B175">
        <f t="shared" si="6"/>
        <v>24</v>
      </c>
      <c r="C175" t="str">
        <f t="shared" si="7"/>
        <v>06</v>
      </c>
      <c r="D175" t="str">
        <f t="shared" si="8"/>
        <v>A</v>
      </c>
      <c r="I175">
        <v>575</v>
      </c>
      <c r="J175" s="4">
        <v>2</v>
      </c>
      <c r="K175">
        <v>96</v>
      </c>
    </row>
    <row r="176" spans="1:11" x14ac:dyDescent="0.25">
      <c r="A176" t="s">
        <v>178</v>
      </c>
      <c r="B176">
        <f t="shared" si="6"/>
        <v>24</v>
      </c>
      <c r="C176" t="str">
        <f t="shared" si="7"/>
        <v>06</v>
      </c>
      <c r="D176" t="str">
        <f t="shared" si="8"/>
        <v>A</v>
      </c>
      <c r="I176">
        <v>186</v>
      </c>
      <c r="J176" s="4">
        <v>1</v>
      </c>
      <c r="K176">
        <v>23</v>
      </c>
    </row>
    <row r="177" spans="1:11" x14ac:dyDescent="0.25">
      <c r="A177" t="s">
        <v>179</v>
      </c>
      <c r="B177">
        <f t="shared" si="6"/>
        <v>31</v>
      </c>
      <c r="C177" t="str">
        <f t="shared" si="7"/>
        <v>06</v>
      </c>
      <c r="D177" t="str">
        <f t="shared" si="8"/>
        <v>A</v>
      </c>
      <c r="I177">
        <v>167</v>
      </c>
      <c r="J177" s="4">
        <v>2</v>
      </c>
      <c r="K177">
        <v>40</v>
      </c>
    </row>
    <row r="178" spans="1:11" x14ac:dyDescent="0.25">
      <c r="A178" t="s">
        <v>180</v>
      </c>
      <c r="B178">
        <f t="shared" si="6"/>
        <v>35</v>
      </c>
      <c r="C178" t="str">
        <f t="shared" si="7"/>
        <v>06</v>
      </c>
      <c r="D178" t="str">
        <f t="shared" si="8"/>
        <v>A</v>
      </c>
      <c r="I178">
        <v>153</v>
      </c>
      <c r="J178" s="4">
        <v>2</v>
      </c>
      <c r="K178">
        <v>166</v>
      </c>
    </row>
    <row r="179" spans="1:11" x14ac:dyDescent="0.25">
      <c r="A179" t="s">
        <v>181</v>
      </c>
      <c r="B179">
        <f t="shared" si="6"/>
        <v>38</v>
      </c>
      <c r="C179" t="str">
        <f t="shared" si="7"/>
        <v>06</v>
      </c>
      <c r="D179" t="str">
        <f t="shared" si="8"/>
        <v>A</v>
      </c>
      <c r="I179">
        <v>124</v>
      </c>
      <c r="J179" s="4">
        <v>1</v>
      </c>
      <c r="K179">
        <v>152</v>
      </c>
    </row>
    <row r="180" spans="1:11" x14ac:dyDescent="0.25">
      <c r="A180" t="s">
        <v>182</v>
      </c>
      <c r="B180">
        <f t="shared" si="6"/>
        <v>43</v>
      </c>
      <c r="C180" t="str">
        <f t="shared" si="7"/>
        <v>06</v>
      </c>
      <c r="D180" t="str">
        <f t="shared" si="8"/>
        <v>A</v>
      </c>
      <c r="I180">
        <v>105</v>
      </c>
      <c r="J180" s="4">
        <v>2</v>
      </c>
      <c r="K180">
        <v>185</v>
      </c>
    </row>
    <row r="181" spans="1:11" x14ac:dyDescent="0.25">
      <c r="A181" t="s">
        <v>183</v>
      </c>
      <c r="B181">
        <f t="shared" si="6"/>
        <v>45</v>
      </c>
      <c r="C181" t="str">
        <f t="shared" si="7"/>
        <v>06</v>
      </c>
      <c r="D181" t="str">
        <f t="shared" si="8"/>
        <v>A</v>
      </c>
      <c r="I181">
        <v>86</v>
      </c>
      <c r="J181" s="4">
        <v>1</v>
      </c>
      <c r="K181">
        <v>44</v>
      </c>
    </row>
    <row r="182" spans="1:11" x14ac:dyDescent="0.25">
      <c r="A182" t="s">
        <v>184</v>
      </c>
      <c r="B182">
        <f t="shared" si="6"/>
        <v>50</v>
      </c>
      <c r="C182" t="str">
        <f t="shared" si="7"/>
        <v>06</v>
      </c>
      <c r="D182" t="str">
        <f t="shared" si="8"/>
        <v>A</v>
      </c>
      <c r="I182">
        <v>123</v>
      </c>
      <c r="J182" s="4">
        <v>2</v>
      </c>
      <c r="K182">
        <v>50</v>
      </c>
    </row>
    <row r="183" spans="1:11" x14ac:dyDescent="0.25">
      <c r="A183" t="s">
        <v>185</v>
      </c>
      <c r="B183">
        <f t="shared" si="6"/>
        <v>52</v>
      </c>
      <c r="C183" t="str">
        <f t="shared" si="7"/>
        <v>06</v>
      </c>
      <c r="D183" t="str">
        <f t="shared" si="8"/>
        <v>A</v>
      </c>
      <c r="I183">
        <v>134</v>
      </c>
      <c r="J183" s="4">
        <v>2</v>
      </c>
      <c r="K183">
        <v>86</v>
      </c>
    </row>
    <row r="184" spans="1:11" x14ac:dyDescent="0.25">
      <c r="A184" t="s">
        <v>186</v>
      </c>
      <c r="B184">
        <f t="shared" si="6"/>
        <v>65</v>
      </c>
      <c r="C184" t="str">
        <f t="shared" si="7"/>
        <v>06</v>
      </c>
      <c r="D184" t="str">
        <f t="shared" si="8"/>
        <v>A</v>
      </c>
      <c r="J184" s="3"/>
      <c r="K184">
        <v>1</v>
      </c>
    </row>
    <row r="185" spans="1:11" x14ac:dyDescent="0.25">
      <c r="A185" t="s">
        <v>187</v>
      </c>
      <c r="B185">
        <f t="shared" si="6"/>
        <v>65</v>
      </c>
      <c r="C185" t="str">
        <f t="shared" si="7"/>
        <v>06</v>
      </c>
      <c r="D185" t="str">
        <f t="shared" si="8"/>
        <v>A</v>
      </c>
      <c r="J185" s="3"/>
      <c r="K185">
        <v>98</v>
      </c>
    </row>
    <row r="186" spans="1:11" x14ac:dyDescent="0.25">
      <c r="A186" t="s">
        <v>188</v>
      </c>
      <c r="B186">
        <f t="shared" si="6"/>
        <v>65</v>
      </c>
      <c r="C186" t="str">
        <f t="shared" si="7"/>
        <v>06</v>
      </c>
      <c r="D186" t="str">
        <f t="shared" si="8"/>
        <v>B</v>
      </c>
      <c r="J186" s="3"/>
      <c r="K186">
        <v>60</v>
      </c>
    </row>
    <row r="187" spans="1:11" x14ac:dyDescent="0.25">
      <c r="A187" t="s">
        <v>189</v>
      </c>
      <c r="B187">
        <f t="shared" si="6"/>
        <v>72</v>
      </c>
      <c r="C187" t="str">
        <f t="shared" si="7"/>
        <v>06</v>
      </c>
      <c r="D187" t="str">
        <f t="shared" si="8"/>
        <v>A</v>
      </c>
      <c r="J187" s="3"/>
      <c r="K187">
        <v>41</v>
      </c>
    </row>
    <row r="188" spans="1:11" x14ac:dyDescent="0.25">
      <c r="A188" t="s">
        <v>190</v>
      </c>
      <c r="B188">
        <f t="shared" si="6"/>
        <v>74</v>
      </c>
      <c r="C188" t="str">
        <f t="shared" si="7"/>
        <v>06</v>
      </c>
      <c r="D188" t="str">
        <f t="shared" si="8"/>
        <v>A</v>
      </c>
      <c r="J188" s="3"/>
      <c r="K188">
        <v>58</v>
      </c>
    </row>
    <row r="189" spans="1:11" x14ac:dyDescent="0.25">
      <c r="A189" t="s">
        <v>191</v>
      </c>
      <c r="B189">
        <f t="shared" si="6"/>
        <v>75</v>
      </c>
      <c r="C189" t="str">
        <f t="shared" si="7"/>
        <v>06</v>
      </c>
      <c r="D189" t="str">
        <f t="shared" si="8"/>
        <v>A</v>
      </c>
      <c r="J189" s="3"/>
      <c r="K189">
        <v>117</v>
      </c>
    </row>
    <row r="190" spans="1:11" x14ac:dyDescent="0.25">
      <c r="A190" t="s">
        <v>192</v>
      </c>
      <c r="B190">
        <f t="shared" si="6"/>
        <v>80</v>
      </c>
      <c r="C190" t="str">
        <f t="shared" si="7"/>
        <v>06</v>
      </c>
      <c r="D190" t="str">
        <f t="shared" si="8"/>
        <v>A</v>
      </c>
      <c r="J190" s="3"/>
      <c r="K190">
        <v>9</v>
      </c>
    </row>
    <row r="191" spans="1:11" x14ac:dyDescent="0.25">
      <c r="A191" t="s">
        <v>193</v>
      </c>
      <c r="B191">
        <f t="shared" si="6"/>
        <v>82</v>
      </c>
      <c r="C191" t="str">
        <f t="shared" si="7"/>
        <v>06</v>
      </c>
      <c r="D191" t="str">
        <f t="shared" si="8"/>
        <v>A</v>
      </c>
      <c r="J191" s="3"/>
      <c r="K191">
        <v>2</v>
      </c>
    </row>
    <row r="192" spans="1:11" x14ac:dyDescent="0.25">
      <c r="A192" t="s">
        <v>194</v>
      </c>
      <c r="B192">
        <f t="shared" si="6"/>
        <v>2</v>
      </c>
      <c r="C192" t="str">
        <f t="shared" si="7"/>
        <v>07</v>
      </c>
      <c r="D192" t="str">
        <f t="shared" si="8"/>
        <v>A</v>
      </c>
      <c r="I192">
        <v>140</v>
      </c>
      <c r="J192" s="4">
        <v>2</v>
      </c>
      <c r="K192">
        <v>266</v>
      </c>
    </row>
    <row r="193" spans="1:11" x14ac:dyDescent="0.25">
      <c r="A193" t="s">
        <v>195</v>
      </c>
      <c r="B193">
        <f t="shared" si="6"/>
        <v>2</v>
      </c>
      <c r="C193" t="str">
        <f t="shared" si="7"/>
        <v>07</v>
      </c>
      <c r="D193" t="str">
        <f t="shared" si="8"/>
        <v>A</v>
      </c>
      <c r="I193">
        <v>129</v>
      </c>
      <c r="J193" s="4">
        <v>1</v>
      </c>
      <c r="K193">
        <v>74</v>
      </c>
    </row>
    <row r="194" spans="1:11" x14ac:dyDescent="0.25">
      <c r="A194" t="s">
        <v>196</v>
      </c>
      <c r="B194">
        <f t="shared" si="6"/>
        <v>3</v>
      </c>
      <c r="C194" t="str">
        <f t="shared" si="7"/>
        <v>07</v>
      </c>
      <c r="D194" t="str">
        <f t="shared" si="8"/>
        <v>A</v>
      </c>
      <c r="I194">
        <v>216</v>
      </c>
      <c r="J194" s="4">
        <v>1</v>
      </c>
      <c r="K194">
        <v>1</v>
      </c>
    </row>
    <row r="195" spans="1:11" x14ac:dyDescent="0.25">
      <c r="A195" t="s">
        <v>197</v>
      </c>
      <c r="B195">
        <f t="shared" ref="B195:B258" si="9">MID(A195,4,2)+0</f>
        <v>3</v>
      </c>
      <c r="C195" t="str">
        <f t="shared" ref="C195:C258" si="10">LEFT(A195,2)</f>
        <v>07</v>
      </c>
      <c r="D195" t="str">
        <f t="shared" ref="D195:D258" si="11">RIGHT(A195)</f>
        <v>A</v>
      </c>
      <c r="I195">
        <v>125</v>
      </c>
      <c r="J195" s="4">
        <v>1</v>
      </c>
      <c r="K195">
        <v>444</v>
      </c>
    </row>
    <row r="196" spans="1:11" x14ac:dyDescent="0.25">
      <c r="A196" t="s">
        <v>198</v>
      </c>
      <c r="B196">
        <f t="shared" si="9"/>
        <v>3</v>
      </c>
      <c r="C196" t="str">
        <f t="shared" si="10"/>
        <v>07</v>
      </c>
      <c r="D196" t="str">
        <f t="shared" si="11"/>
        <v>B</v>
      </c>
      <c r="I196">
        <v>112</v>
      </c>
      <c r="J196" s="4">
        <v>1</v>
      </c>
      <c r="K196">
        <v>157</v>
      </c>
    </row>
    <row r="197" spans="1:11" x14ac:dyDescent="0.25">
      <c r="A197" t="s">
        <v>199</v>
      </c>
      <c r="B197">
        <f t="shared" si="9"/>
        <v>5</v>
      </c>
      <c r="C197" t="str">
        <f t="shared" si="10"/>
        <v>07</v>
      </c>
      <c r="D197" t="str">
        <f t="shared" si="11"/>
        <v>A</v>
      </c>
      <c r="I197">
        <v>207</v>
      </c>
      <c r="J197" s="4">
        <v>1</v>
      </c>
      <c r="K197">
        <v>152</v>
      </c>
    </row>
    <row r="198" spans="1:11" x14ac:dyDescent="0.25">
      <c r="A198" t="s">
        <v>200</v>
      </c>
      <c r="B198">
        <f t="shared" si="9"/>
        <v>5</v>
      </c>
      <c r="C198" t="str">
        <f t="shared" si="10"/>
        <v>07</v>
      </c>
      <c r="D198" t="str">
        <f t="shared" si="11"/>
        <v>A</v>
      </c>
      <c r="I198">
        <v>351</v>
      </c>
      <c r="J198" s="4">
        <v>2</v>
      </c>
      <c r="K198">
        <v>131</v>
      </c>
    </row>
    <row r="199" spans="1:11" x14ac:dyDescent="0.25">
      <c r="A199" t="s">
        <v>201</v>
      </c>
      <c r="B199">
        <f t="shared" si="9"/>
        <v>8</v>
      </c>
      <c r="C199" t="str">
        <f t="shared" si="10"/>
        <v>07</v>
      </c>
      <c r="D199" t="str">
        <f t="shared" si="11"/>
        <v>A</v>
      </c>
      <c r="I199">
        <v>97</v>
      </c>
      <c r="J199" s="4">
        <v>2</v>
      </c>
      <c r="K199">
        <v>82</v>
      </c>
    </row>
    <row r="200" spans="1:11" x14ac:dyDescent="0.25">
      <c r="A200" t="s">
        <v>202</v>
      </c>
      <c r="B200">
        <f t="shared" si="9"/>
        <v>8</v>
      </c>
      <c r="C200" t="str">
        <f t="shared" si="10"/>
        <v>07</v>
      </c>
      <c r="D200" t="str">
        <f t="shared" si="11"/>
        <v>A</v>
      </c>
      <c r="I200">
        <v>314</v>
      </c>
      <c r="J200" s="4">
        <v>1</v>
      </c>
      <c r="K200">
        <v>175</v>
      </c>
    </row>
    <row r="201" spans="1:11" x14ac:dyDescent="0.25">
      <c r="A201" t="s">
        <v>203</v>
      </c>
      <c r="B201">
        <f t="shared" si="9"/>
        <v>11</v>
      </c>
      <c r="C201" t="str">
        <f t="shared" si="10"/>
        <v>07</v>
      </c>
      <c r="D201" t="str">
        <f t="shared" si="11"/>
        <v>A</v>
      </c>
      <c r="I201">
        <v>164</v>
      </c>
      <c r="J201" s="4">
        <v>1</v>
      </c>
      <c r="K201">
        <v>149</v>
      </c>
    </row>
    <row r="202" spans="1:11" x14ac:dyDescent="0.25">
      <c r="A202" t="s">
        <v>204</v>
      </c>
      <c r="B202">
        <f t="shared" si="9"/>
        <v>14</v>
      </c>
      <c r="C202" t="str">
        <f t="shared" si="10"/>
        <v>07</v>
      </c>
      <c r="D202" t="str">
        <f t="shared" si="11"/>
        <v>A</v>
      </c>
      <c r="I202">
        <v>183</v>
      </c>
      <c r="J202" s="4">
        <v>1</v>
      </c>
      <c r="K202">
        <v>81</v>
      </c>
    </row>
    <row r="203" spans="1:11" x14ac:dyDescent="0.25">
      <c r="A203" t="s">
        <v>205</v>
      </c>
      <c r="B203">
        <f t="shared" si="9"/>
        <v>14</v>
      </c>
      <c r="C203" t="str">
        <f t="shared" si="10"/>
        <v>07</v>
      </c>
      <c r="D203" t="str">
        <f t="shared" si="11"/>
        <v>A</v>
      </c>
      <c r="I203">
        <v>304</v>
      </c>
      <c r="J203" s="4">
        <v>2</v>
      </c>
      <c r="K203">
        <v>54</v>
      </c>
    </row>
    <row r="204" spans="1:11" x14ac:dyDescent="0.25">
      <c r="A204" t="s">
        <v>206</v>
      </c>
      <c r="B204">
        <f t="shared" si="9"/>
        <v>17</v>
      </c>
      <c r="C204" t="str">
        <f t="shared" si="10"/>
        <v>07</v>
      </c>
      <c r="D204" t="str">
        <f t="shared" si="11"/>
        <v>A</v>
      </c>
      <c r="I204">
        <v>560</v>
      </c>
      <c r="J204" s="4">
        <v>0</v>
      </c>
      <c r="K204">
        <v>50</v>
      </c>
    </row>
    <row r="205" spans="1:11" x14ac:dyDescent="0.25">
      <c r="A205" t="s">
        <v>207</v>
      </c>
      <c r="B205">
        <f t="shared" si="9"/>
        <v>17</v>
      </c>
      <c r="C205" t="str">
        <f t="shared" si="10"/>
        <v>07</v>
      </c>
      <c r="D205" t="str">
        <f t="shared" si="11"/>
        <v>A</v>
      </c>
      <c r="I205">
        <v>85</v>
      </c>
      <c r="J205" s="4">
        <v>1</v>
      </c>
      <c r="K205">
        <v>211</v>
      </c>
    </row>
    <row r="206" spans="1:11" x14ac:dyDescent="0.25">
      <c r="A206" t="s">
        <v>208</v>
      </c>
      <c r="B206">
        <f t="shared" si="9"/>
        <v>24</v>
      </c>
      <c r="C206" t="str">
        <f t="shared" si="10"/>
        <v>07</v>
      </c>
      <c r="D206" t="str">
        <f t="shared" si="11"/>
        <v>A</v>
      </c>
      <c r="I206">
        <v>373</v>
      </c>
      <c r="J206" s="4">
        <v>2</v>
      </c>
      <c r="K206">
        <v>251</v>
      </c>
    </row>
    <row r="207" spans="1:11" x14ac:dyDescent="0.25">
      <c r="A207" t="s">
        <v>209</v>
      </c>
      <c r="B207">
        <f t="shared" si="9"/>
        <v>24</v>
      </c>
      <c r="C207" t="str">
        <f t="shared" si="10"/>
        <v>07</v>
      </c>
      <c r="D207" t="str">
        <f t="shared" si="11"/>
        <v>A</v>
      </c>
      <c r="I207">
        <v>379</v>
      </c>
      <c r="J207" s="4">
        <v>2</v>
      </c>
      <c r="K207">
        <v>54</v>
      </c>
    </row>
    <row r="208" spans="1:11" x14ac:dyDescent="0.25">
      <c r="A208" t="s">
        <v>210</v>
      </c>
      <c r="B208">
        <f t="shared" si="9"/>
        <v>31</v>
      </c>
      <c r="C208" t="str">
        <f t="shared" si="10"/>
        <v>07</v>
      </c>
      <c r="D208" t="str">
        <f t="shared" si="11"/>
        <v>A</v>
      </c>
      <c r="I208">
        <v>208</v>
      </c>
      <c r="J208" s="4">
        <v>2</v>
      </c>
      <c r="K208">
        <v>81</v>
      </c>
    </row>
    <row r="209" spans="1:11" x14ac:dyDescent="0.25">
      <c r="A209" t="s">
        <v>211</v>
      </c>
      <c r="B209">
        <f t="shared" si="9"/>
        <v>31</v>
      </c>
      <c r="C209" t="str">
        <f t="shared" si="10"/>
        <v>07</v>
      </c>
      <c r="D209" t="str">
        <f t="shared" si="11"/>
        <v>A</v>
      </c>
      <c r="I209">
        <v>337</v>
      </c>
      <c r="J209" s="4">
        <v>2</v>
      </c>
      <c r="K209">
        <v>304</v>
      </c>
    </row>
    <row r="210" spans="1:11" x14ac:dyDescent="0.25">
      <c r="A210" t="s">
        <v>212</v>
      </c>
      <c r="B210">
        <f t="shared" si="9"/>
        <v>38</v>
      </c>
      <c r="C210" t="str">
        <f t="shared" si="10"/>
        <v>07</v>
      </c>
      <c r="D210" t="str">
        <f t="shared" si="11"/>
        <v>A</v>
      </c>
      <c r="I210">
        <v>162</v>
      </c>
      <c r="J210" s="4">
        <v>2</v>
      </c>
      <c r="K210">
        <v>79</v>
      </c>
    </row>
    <row r="211" spans="1:11" x14ac:dyDescent="0.25">
      <c r="A211" t="s">
        <v>213</v>
      </c>
      <c r="B211">
        <f t="shared" si="9"/>
        <v>38</v>
      </c>
      <c r="C211" t="str">
        <f t="shared" si="10"/>
        <v>07</v>
      </c>
      <c r="D211" t="str">
        <f t="shared" si="11"/>
        <v>A</v>
      </c>
      <c r="I211">
        <v>218</v>
      </c>
      <c r="J211" s="4">
        <v>2</v>
      </c>
      <c r="K211">
        <v>82</v>
      </c>
    </row>
    <row r="212" spans="1:11" x14ac:dyDescent="0.25">
      <c r="A212" t="s">
        <v>214</v>
      </c>
      <c r="B212">
        <f t="shared" si="9"/>
        <v>45</v>
      </c>
      <c r="C212" t="str">
        <f t="shared" si="10"/>
        <v>07</v>
      </c>
      <c r="D212" t="str">
        <f t="shared" si="11"/>
        <v>A</v>
      </c>
      <c r="I212">
        <v>146</v>
      </c>
      <c r="J212" s="4">
        <v>1</v>
      </c>
      <c r="K212">
        <v>48</v>
      </c>
    </row>
    <row r="213" spans="1:11" x14ac:dyDescent="0.25">
      <c r="A213" t="s">
        <v>215</v>
      </c>
      <c r="B213">
        <f t="shared" si="9"/>
        <v>45</v>
      </c>
      <c r="C213" t="str">
        <f t="shared" si="10"/>
        <v>07</v>
      </c>
      <c r="D213" t="str">
        <f t="shared" si="11"/>
        <v>A</v>
      </c>
      <c r="I213">
        <v>40</v>
      </c>
      <c r="J213" s="4">
        <v>2</v>
      </c>
      <c r="K213">
        <v>19</v>
      </c>
    </row>
    <row r="214" spans="1:11" x14ac:dyDescent="0.25">
      <c r="A214" t="s">
        <v>216</v>
      </c>
      <c r="B214">
        <f t="shared" si="9"/>
        <v>52</v>
      </c>
      <c r="C214" t="str">
        <f t="shared" si="10"/>
        <v>07</v>
      </c>
      <c r="D214" t="str">
        <f t="shared" si="11"/>
        <v>A</v>
      </c>
      <c r="I214">
        <v>27</v>
      </c>
      <c r="J214" s="4">
        <v>1</v>
      </c>
      <c r="K214">
        <v>20</v>
      </c>
    </row>
    <row r="215" spans="1:11" x14ac:dyDescent="0.25">
      <c r="A215" t="s">
        <v>217</v>
      </c>
      <c r="B215">
        <f t="shared" si="9"/>
        <v>21</v>
      </c>
      <c r="C215" t="str">
        <f t="shared" si="10"/>
        <v>X1</v>
      </c>
      <c r="D215" t="str">
        <f t="shared" si="11"/>
        <v>A</v>
      </c>
      <c r="I215">
        <v>144</v>
      </c>
      <c r="J215" s="4">
        <v>2</v>
      </c>
      <c r="K215">
        <v>85</v>
      </c>
    </row>
    <row r="216" spans="1:11" x14ac:dyDescent="0.25">
      <c r="A216" t="s">
        <v>218</v>
      </c>
      <c r="B216">
        <f t="shared" si="9"/>
        <v>24</v>
      </c>
      <c r="C216" t="str">
        <f t="shared" si="10"/>
        <v>X1</v>
      </c>
      <c r="D216" t="str">
        <f t="shared" si="11"/>
        <v>A</v>
      </c>
      <c r="I216">
        <v>177</v>
      </c>
      <c r="J216" s="4">
        <v>2</v>
      </c>
      <c r="K216">
        <v>78</v>
      </c>
    </row>
    <row r="217" spans="1:11" x14ac:dyDescent="0.25">
      <c r="A217" t="s">
        <v>219</v>
      </c>
      <c r="B217">
        <f t="shared" si="9"/>
        <v>28</v>
      </c>
      <c r="C217" t="str">
        <f t="shared" si="10"/>
        <v>X1</v>
      </c>
      <c r="D217" t="str">
        <f t="shared" si="11"/>
        <v>A</v>
      </c>
      <c r="I217">
        <v>154</v>
      </c>
      <c r="J217" s="4">
        <v>2</v>
      </c>
      <c r="K217">
        <v>55</v>
      </c>
    </row>
    <row r="218" spans="1:11" x14ac:dyDescent="0.25">
      <c r="A218" t="s">
        <v>220</v>
      </c>
      <c r="B218">
        <f t="shared" si="9"/>
        <v>29</v>
      </c>
      <c r="C218" t="str">
        <f t="shared" si="10"/>
        <v>X1</v>
      </c>
      <c r="D218" t="str">
        <f t="shared" si="11"/>
        <v>A</v>
      </c>
      <c r="I218">
        <v>311</v>
      </c>
      <c r="J218" s="4">
        <v>2</v>
      </c>
      <c r="K218">
        <v>140</v>
      </c>
    </row>
    <row r="219" spans="1:11" x14ac:dyDescent="0.25">
      <c r="A219" t="s">
        <v>221</v>
      </c>
      <c r="B219">
        <f t="shared" si="9"/>
        <v>32</v>
      </c>
      <c r="C219" t="str">
        <f t="shared" si="10"/>
        <v>X1</v>
      </c>
      <c r="D219" t="str">
        <f t="shared" si="11"/>
        <v>A</v>
      </c>
      <c r="I219">
        <v>139</v>
      </c>
      <c r="J219" s="4">
        <v>2</v>
      </c>
      <c r="K219">
        <v>56</v>
      </c>
    </row>
    <row r="220" spans="1:11" x14ac:dyDescent="0.25">
      <c r="A220" t="s">
        <v>222</v>
      </c>
      <c r="B220">
        <f t="shared" si="9"/>
        <v>35</v>
      </c>
      <c r="C220" t="str">
        <f t="shared" si="10"/>
        <v>X1</v>
      </c>
      <c r="D220" t="str">
        <f t="shared" si="11"/>
        <v>A</v>
      </c>
      <c r="I220">
        <v>149</v>
      </c>
      <c r="J220" s="4">
        <v>2</v>
      </c>
      <c r="K220">
        <v>61</v>
      </c>
    </row>
    <row r="221" spans="1:11" x14ac:dyDescent="0.25">
      <c r="A221" t="s">
        <v>223</v>
      </c>
      <c r="B221">
        <f t="shared" si="9"/>
        <v>1</v>
      </c>
      <c r="C221" t="str">
        <f t="shared" si="10"/>
        <v>X4</v>
      </c>
      <c r="D221" t="str">
        <f t="shared" si="11"/>
        <v>A</v>
      </c>
      <c r="I221">
        <v>21</v>
      </c>
      <c r="J221" s="4">
        <v>1</v>
      </c>
      <c r="K221">
        <v>1</v>
      </c>
    </row>
    <row r="222" spans="1:11" x14ac:dyDescent="0.25">
      <c r="A222" t="s">
        <v>224</v>
      </c>
      <c r="B222">
        <f t="shared" si="9"/>
        <v>6</v>
      </c>
      <c r="C222" t="str">
        <f t="shared" si="10"/>
        <v>X4</v>
      </c>
      <c r="D222" t="str">
        <f t="shared" si="11"/>
        <v>A</v>
      </c>
      <c r="J222" s="3"/>
      <c r="K222">
        <v>98</v>
      </c>
    </row>
    <row r="223" spans="1:11" x14ac:dyDescent="0.25">
      <c r="A223" t="s">
        <v>225</v>
      </c>
      <c r="B223">
        <f t="shared" si="9"/>
        <v>54</v>
      </c>
      <c r="C223" t="str">
        <f t="shared" si="10"/>
        <v>X4</v>
      </c>
      <c r="D223" t="str">
        <f t="shared" si="11"/>
        <v>A</v>
      </c>
      <c r="J223" s="3"/>
      <c r="K223">
        <v>5</v>
      </c>
    </row>
    <row r="224" spans="1:11" x14ac:dyDescent="0.25">
      <c r="A224" t="s">
        <v>226</v>
      </c>
      <c r="B224">
        <f t="shared" si="9"/>
        <v>54</v>
      </c>
      <c r="C224" t="str">
        <f t="shared" si="10"/>
        <v>X4</v>
      </c>
      <c r="D224" t="str">
        <f t="shared" si="11"/>
        <v>B</v>
      </c>
      <c r="J224" s="3"/>
      <c r="K224">
        <v>40</v>
      </c>
    </row>
    <row r="225" spans="1:11" x14ac:dyDescent="0.25">
      <c r="A225" t="s">
        <v>227</v>
      </c>
      <c r="B225">
        <f t="shared" si="9"/>
        <v>54</v>
      </c>
      <c r="C225" t="str">
        <f t="shared" si="10"/>
        <v>X4</v>
      </c>
      <c r="D225" t="str">
        <f t="shared" si="11"/>
        <v>C</v>
      </c>
      <c r="J225" s="3"/>
      <c r="K225">
        <v>24</v>
      </c>
    </row>
    <row r="226" spans="1:11" x14ac:dyDescent="0.25">
      <c r="A226" t="s">
        <v>228</v>
      </c>
      <c r="B226">
        <f t="shared" si="9"/>
        <v>1</v>
      </c>
      <c r="C226" t="str">
        <f t="shared" si="10"/>
        <v>X6</v>
      </c>
      <c r="D226" t="str">
        <f t="shared" si="11"/>
        <v>A</v>
      </c>
      <c r="I226">
        <v>86</v>
      </c>
      <c r="J226" s="4">
        <v>1</v>
      </c>
      <c r="K226">
        <v>39</v>
      </c>
    </row>
    <row r="227" spans="1:11" x14ac:dyDescent="0.25">
      <c r="A227" t="s">
        <v>229</v>
      </c>
      <c r="B227">
        <f t="shared" si="9"/>
        <v>4</v>
      </c>
      <c r="C227" t="str">
        <f t="shared" si="10"/>
        <v>X6</v>
      </c>
      <c r="D227" t="str">
        <f t="shared" si="11"/>
        <v>A</v>
      </c>
      <c r="I227">
        <v>170</v>
      </c>
      <c r="J227" s="4">
        <v>1</v>
      </c>
      <c r="K227">
        <v>78</v>
      </c>
    </row>
    <row r="228" spans="1:11" x14ac:dyDescent="0.25">
      <c r="A228" t="s">
        <v>230</v>
      </c>
      <c r="B228">
        <f t="shared" si="9"/>
        <v>8</v>
      </c>
      <c r="C228" t="str">
        <f t="shared" si="10"/>
        <v>X6</v>
      </c>
      <c r="D228" t="str">
        <f t="shared" si="11"/>
        <v>A</v>
      </c>
      <c r="I228">
        <v>0</v>
      </c>
      <c r="J228" s="4">
        <v>0</v>
      </c>
      <c r="K228">
        <v>48</v>
      </c>
    </row>
    <row r="229" spans="1:11" x14ac:dyDescent="0.25">
      <c r="A229" t="s">
        <v>231</v>
      </c>
      <c r="B229">
        <f t="shared" si="9"/>
        <v>21</v>
      </c>
      <c r="C229" t="str">
        <f t="shared" si="10"/>
        <v>X6</v>
      </c>
      <c r="D229" t="str">
        <f t="shared" si="11"/>
        <v>A</v>
      </c>
      <c r="I229">
        <v>138</v>
      </c>
      <c r="J229" s="4">
        <v>1</v>
      </c>
      <c r="K229">
        <v>289</v>
      </c>
    </row>
    <row r="230" spans="1:11" x14ac:dyDescent="0.25">
      <c r="A230" t="s">
        <v>232</v>
      </c>
      <c r="B230">
        <f t="shared" si="9"/>
        <v>27</v>
      </c>
      <c r="C230" t="str">
        <f t="shared" si="10"/>
        <v>X6</v>
      </c>
      <c r="D230" t="str">
        <f t="shared" si="11"/>
        <v>A</v>
      </c>
      <c r="I230">
        <v>161</v>
      </c>
      <c r="J230" s="4">
        <v>1</v>
      </c>
      <c r="K230">
        <v>217</v>
      </c>
    </row>
    <row r="231" spans="1:11" x14ac:dyDescent="0.25">
      <c r="A231" t="s">
        <v>233</v>
      </c>
      <c r="B231">
        <f t="shared" si="9"/>
        <v>30</v>
      </c>
      <c r="C231" t="str">
        <f t="shared" si="10"/>
        <v>X6</v>
      </c>
      <c r="D231" t="str">
        <f t="shared" si="11"/>
        <v>A</v>
      </c>
      <c r="J231" s="3"/>
      <c r="K231">
        <v>129</v>
      </c>
    </row>
    <row r="232" spans="1:11" x14ac:dyDescent="0.25">
      <c r="A232" t="s">
        <v>234</v>
      </c>
      <c r="B232">
        <f t="shared" si="9"/>
        <v>21</v>
      </c>
      <c r="C232" t="str">
        <f t="shared" si="10"/>
        <v>X7</v>
      </c>
      <c r="D232" t="str">
        <f t="shared" si="11"/>
        <v>A</v>
      </c>
      <c r="I232">
        <v>122</v>
      </c>
      <c r="J232" s="4">
        <v>1</v>
      </c>
      <c r="K232">
        <v>183</v>
      </c>
    </row>
    <row r="233" spans="1:11" x14ac:dyDescent="0.25">
      <c r="A233" t="s">
        <v>235</v>
      </c>
      <c r="B233">
        <f t="shared" si="9"/>
        <v>26</v>
      </c>
      <c r="C233" t="str">
        <f t="shared" si="10"/>
        <v>X7</v>
      </c>
      <c r="D233" t="str">
        <f t="shared" si="11"/>
        <v>A</v>
      </c>
      <c r="I233">
        <v>48</v>
      </c>
      <c r="J233" s="4">
        <v>2</v>
      </c>
      <c r="K233">
        <v>45</v>
      </c>
    </row>
    <row r="234" spans="1:11" x14ac:dyDescent="0.25">
      <c r="A234" t="s">
        <v>236</v>
      </c>
      <c r="B234">
        <f t="shared" si="9"/>
        <v>29</v>
      </c>
      <c r="C234" t="str">
        <f t="shared" si="10"/>
        <v>X7</v>
      </c>
      <c r="D234" t="str">
        <f t="shared" si="11"/>
        <v>A</v>
      </c>
      <c r="I234">
        <v>192</v>
      </c>
      <c r="J234" s="4">
        <v>1</v>
      </c>
      <c r="K234">
        <v>187</v>
      </c>
    </row>
    <row r="235" spans="1:11" x14ac:dyDescent="0.25">
      <c r="A235" t="s">
        <v>237</v>
      </c>
      <c r="B235">
        <f t="shared" si="9"/>
        <v>29</v>
      </c>
      <c r="C235" t="str">
        <f t="shared" si="10"/>
        <v>X7</v>
      </c>
      <c r="D235" t="str">
        <f t="shared" si="11"/>
        <v>B</v>
      </c>
      <c r="J235" s="3"/>
      <c r="K235">
        <v>140</v>
      </c>
    </row>
    <row r="236" spans="1:11" x14ac:dyDescent="0.25">
      <c r="A236" t="s">
        <v>238</v>
      </c>
      <c r="B236">
        <f t="shared" si="9"/>
        <v>58</v>
      </c>
      <c r="C236" t="str">
        <f t="shared" si="10"/>
        <v>X7</v>
      </c>
      <c r="D236" t="str">
        <f t="shared" si="11"/>
        <v>A</v>
      </c>
      <c r="J236" s="3"/>
      <c r="K236">
        <v>75</v>
      </c>
    </row>
    <row r="237" spans="1:11" x14ac:dyDescent="0.25">
      <c r="A237" t="s">
        <v>239</v>
      </c>
      <c r="B237">
        <f t="shared" si="9"/>
        <v>70</v>
      </c>
      <c r="C237" t="str">
        <f t="shared" si="10"/>
        <v>X7</v>
      </c>
      <c r="D237" t="str">
        <f t="shared" si="11"/>
        <v>A</v>
      </c>
      <c r="J237" s="3"/>
      <c r="K237">
        <v>67</v>
      </c>
    </row>
    <row r="238" spans="1:11" x14ac:dyDescent="0.25">
      <c r="A238" t="s">
        <v>240</v>
      </c>
      <c r="B238">
        <f t="shared" si="9"/>
        <v>70</v>
      </c>
      <c r="C238" t="str">
        <f t="shared" si="10"/>
        <v>X7</v>
      </c>
      <c r="D238" t="str">
        <f t="shared" si="11"/>
        <v>B</v>
      </c>
      <c r="J238" s="3"/>
      <c r="K238">
        <v>119</v>
      </c>
    </row>
    <row r="239" spans="1:11" x14ac:dyDescent="0.25">
      <c r="A239" t="s">
        <v>241</v>
      </c>
      <c r="B239">
        <f t="shared" si="9"/>
        <v>75</v>
      </c>
      <c r="C239" t="str">
        <f t="shared" si="10"/>
        <v>X7</v>
      </c>
      <c r="D239" t="str">
        <f t="shared" si="11"/>
        <v>A</v>
      </c>
      <c r="J239" s="3"/>
      <c r="K239">
        <v>4</v>
      </c>
    </row>
    <row r="240" spans="1:11" x14ac:dyDescent="0.25">
      <c r="A240" t="s">
        <v>242</v>
      </c>
      <c r="B240">
        <f t="shared" si="9"/>
        <v>75</v>
      </c>
      <c r="C240" t="str">
        <f t="shared" si="10"/>
        <v>X7</v>
      </c>
      <c r="D240" t="str">
        <f t="shared" si="11"/>
        <v>A</v>
      </c>
      <c r="J240" s="3"/>
      <c r="K240">
        <v>9</v>
      </c>
    </row>
    <row r="241" spans="1:11" x14ac:dyDescent="0.25">
      <c r="A241" t="s">
        <v>243</v>
      </c>
      <c r="B241">
        <f t="shared" si="9"/>
        <v>11</v>
      </c>
      <c r="C241" t="str">
        <f t="shared" si="10"/>
        <v>04</v>
      </c>
      <c r="D241" t="str">
        <f t="shared" si="11"/>
        <v>A</v>
      </c>
      <c r="I241">
        <v>91</v>
      </c>
      <c r="J241" s="4">
        <v>1</v>
      </c>
      <c r="K241">
        <v>0</v>
      </c>
    </row>
    <row r="242" spans="1:11" x14ac:dyDescent="0.25">
      <c r="A242" t="s">
        <v>244</v>
      </c>
      <c r="B242">
        <f t="shared" si="9"/>
        <v>80</v>
      </c>
      <c r="C242" t="str">
        <f t="shared" si="10"/>
        <v>06</v>
      </c>
      <c r="D242" t="str">
        <f t="shared" si="11"/>
        <v>A</v>
      </c>
      <c r="J242" s="3"/>
      <c r="K242">
        <v>0</v>
      </c>
    </row>
    <row r="243" spans="1:11" x14ac:dyDescent="0.25">
      <c r="A243" t="s">
        <v>245</v>
      </c>
      <c r="B243">
        <f t="shared" si="9"/>
        <v>40</v>
      </c>
      <c r="C243" t="str">
        <f t="shared" si="10"/>
        <v>05</v>
      </c>
      <c r="D243" t="str">
        <f t="shared" si="11"/>
        <v>A</v>
      </c>
      <c r="I243">
        <v>292</v>
      </c>
      <c r="J243" s="4">
        <v>2</v>
      </c>
      <c r="K243">
        <v>0</v>
      </c>
    </row>
    <row r="244" spans="1:11" x14ac:dyDescent="0.25">
      <c r="A244" t="s">
        <v>246</v>
      </c>
      <c r="B244">
        <f t="shared" si="9"/>
        <v>70</v>
      </c>
      <c r="C244" t="str">
        <f t="shared" si="10"/>
        <v>04</v>
      </c>
      <c r="D244" t="str">
        <f t="shared" si="11"/>
        <v>A</v>
      </c>
      <c r="J244" s="3"/>
      <c r="K244">
        <v>0</v>
      </c>
    </row>
    <row r="245" spans="1:11" x14ac:dyDescent="0.25">
      <c r="A245" t="s">
        <v>247</v>
      </c>
      <c r="B245">
        <f t="shared" si="9"/>
        <v>1</v>
      </c>
      <c r="C245" t="str">
        <f t="shared" si="10"/>
        <v>X7</v>
      </c>
      <c r="D245" t="str">
        <f t="shared" si="11"/>
        <v>A</v>
      </c>
      <c r="I245">
        <v>75</v>
      </c>
      <c r="J245" s="4">
        <v>0</v>
      </c>
      <c r="K245">
        <v>0</v>
      </c>
    </row>
    <row r="246" spans="1:11" x14ac:dyDescent="0.25">
      <c r="A246" t="s">
        <v>248</v>
      </c>
      <c r="B246">
        <f t="shared" si="9"/>
        <v>1</v>
      </c>
      <c r="C246" t="str">
        <f t="shared" si="10"/>
        <v>02</v>
      </c>
      <c r="D246" t="str">
        <f t="shared" si="11"/>
        <v>A</v>
      </c>
      <c r="I246">
        <v>104</v>
      </c>
      <c r="J246" s="4">
        <v>2</v>
      </c>
    </row>
    <row r="247" spans="1:11" x14ac:dyDescent="0.25">
      <c r="A247" t="s">
        <v>249</v>
      </c>
      <c r="B247">
        <f t="shared" si="9"/>
        <v>1</v>
      </c>
      <c r="C247" t="str">
        <f t="shared" si="10"/>
        <v>02</v>
      </c>
      <c r="D247" t="str">
        <f t="shared" si="11"/>
        <v>B</v>
      </c>
      <c r="I247">
        <v>105</v>
      </c>
      <c r="J247" s="4">
        <v>2</v>
      </c>
    </row>
    <row r="248" spans="1:11" x14ac:dyDescent="0.25">
      <c r="A248" t="s">
        <v>250</v>
      </c>
      <c r="B248">
        <f t="shared" si="9"/>
        <v>1</v>
      </c>
      <c r="C248" t="str">
        <f t="shared" si="10"/>
        <v>02</v>
      </c>
      <c r="D248" t="str">
        <f t="shared" si="11"/>
        <v>C</v>
      </c>
      <c r="I248">
        <v>184</v>
      </c>
      <c r="J248" s="4">
        <v>2</v>
      </c>
    </row>
    <row r="249" spans="1:11" x14ac:dyDescent="0.25">
      <c r="A249" t="s">
        <v>251</v>
      </c>
      <c r="B249">
        <f t="shared" si="9"/>
        <v>2</v>
      </c>
      <c r="C249" t="str">
        <f t="shared" si="10"/>
        <v>02</v>
      </c>
      <c r="D249" t="str">
        <f t="shared" si="11"/>
        <v>B</v>
      </c>
      <c r="I249">
        <v>131</v>
      </c>
      <c r="J249" s="4">
        <v>1</v>
      </c>
    </row>
    <row r="250" spans="1:11" x14ac:dyDescent="0.25">
      <c r="A250" t="s">
        <v>252</v>
      </c>
      <c r="B250">
        <f t="shared" si="9"/>
        <v>3</v>
      </c>
      <c r="C250" t="str">
        <f t="shared" si="10"/>
        <v>02</v>
      </c>
      <c r="D250" t="str">
        <f t="shared" si="11"/>
        <v>B</v>
      </c>
      <c r="I250">
        <v>91</v>
      </c>
      <c r="J250" s="4">
        <v>0</v>
      </c>
    </row>
    <row r="251" spans="1:11" x14ac:dyDescent="0.25">
      <c r="A251" t="s">
        <v>253</v>
      </c>
      <c r="B251">
        <f t="shared" si="9"/>
        <v>5</v>
      </c>
      <c r="C251" t="str">
        <f t="shared" si="10"/>
        <v>02</v>
      </c>
      <c r="D251" t="str">
        <f t="shared" si="11"/>
        <v>A</v>
      </c>
      <c r="I251">
        <v>221</v>
      </c>
      <c r="J251" s="4">
        <v>1</v>
      </c>
    </row>
    <row r="252" spans="1:11" x14ac:dyDescent="0.25">
      <c r="A252" t="s">
        <v>254</v>
      </c>
      <c r="B252">
        <f t="shared" si="9"/>
        <v>5</v>
      </c>
      <c r="C252" t="str">
        <f t="shared" si="10"/>
        <v>02</v>
      </c>
      <c r="D252" t="str">
        <f t="shared" si="11"/>
        <v>B</v>
      </c>
      <c r="I252">
        <v>44</v>
      </c>
      <c r="J252" s="4">
        <v>1</v>
      </c>
    </row>
    <row r="253" spans="1:11" x14ac:dyDescent="0.25">
      <c r="A253" t="s">
        <v>255</v>
      </c>
      <c r="B253">
        <f t="shared" si="9"/>
        <v>5</v>
      </c>
      <c r="C253" t="str">
        <f t="shared" si="10"/>
        <v>02</v>
      </c>
      <c r="D253" t="str">
        <f t="shared" si="11"/>
        <v>C</v>
      </c>
      <c r="I253">
        <v>41</v>
      </c>
      <c r="J253" s="4">
        <v>0</v>
      </c>
    </row>
    <row r="254" spans="1:11" x14ac:dyDescent="0.25">
      <c r="A254" t="s">
        <v>256</v>
      </c>
      <c r="B254">
        <f t="shared" si="9"/>
        <v>5</v>
      </c>
      <c r="C254" t="str">
        <f t="shared" si="10"/>
        <v>02</v>
      </c>
      <c r="D254" t="str">
        <f t="shared" si="11"/>
        <v>D</v>
      </c>
      <c r="I254">
        <v>342</v>
      </c>
      <c r="J254" s="4">
        <v>1</v>
      </c>
    </row>
    <row r="255" spans="1:11" x14ac:dyDescent="0.25">
      <c r="A255" t="s">
        <v>257</v>
      </c>
      <c r="B255">
        <f t="shared" si="9"/>
        <v>8</v>
      </c>
      <c r="C255" t="str">
        <f t="shared" si="10"/>
        <v>02</v>
      </c>
      <c r="D255" t="str">
        <f t="shared" si="11"/>
        <v>B</v>
      </c>
      <c r="I255">
        <v>99</v>
      </c>
      <c r="J255" s="4">
        <v>1</v>
      </c>
    </row>
    <row r="256" spans="1:11" x14ac:dyDescent="0.25">
      <c r="A256" t="s">
        <v>258</v>
      </c>
      <c r="B256">
        <f t="shared" si="9"/>
        <v>14</v>
      </c>
      <c r="C256" t="str">
        <f t="shared" si="10"/>
        <v>02</v>
      </c>
      <c r="D256" t="str">
        <f t="shared" si="11"/>
        <v>B</v>
      </c>
      <c r="I256">
        <v>204</v>
      </c>
      <c r="J256" s="4">
        <v>2</v>
      </c>
    </row>
    <row r="257" spans="1:10" x14ac:dyDescent="0.25">
      <c r="A257" t="s">
        <v>259</v>
      </c>
      <c r="B257">
        <f t="shared" si="9"/>
        <v>17</v>
      </c>
      <c r="C257" t="str">
        <f t="shared" si="10"/>
        <v>02</v>
      </c>
      <c r="D257" t="str">
        <f t="shared" si="11"/>
        <v>B</v>
      </c>
      <c r="I257">
        <v>332</v>
      </c>
      <c r="J257" s="4">
        <v>2</v>
      </c>
    </row>
    <row r="258" spans="1:10" x14ac:dyDescent="0.25">
      <c r="A258" t="s">
        <v>260</v>
      </c>
      <c r="B258">
        <f t="shared" si="9"/>
        <v>17</v>
      </c>
      <c r="C258" t="str">
        <f t="shared" si="10"/>
        <v>02</v>
      </c>
      <c r="D258" t="str">
        <f t="shared" si="11"/>
        <v>B</v>
      </c>
      <c r="I258">
        <v>113</v>
      </c>
      <c r="J258" s="4">
        <v>1</v>
      </c>
    </row>
    <row r="259" spans="1:10" x14ac:dyDescent="0.25">
      <c r="A259" t="s">
        <v>261</v>
      </c>
      <c r="B259">
        <f t="shared" ref="B259:B322" si="12">MID(A259,4,2)+0</f>
        <v>21</v>
      </c>
      <c r="C259" t="str">
        <f t="shared" ref="C259:C322" si="13">LEFT(A259,2)</f>
        <v>02</v>
      </c>
      <c r="D259" t="str">
        <f t="shared" ref="D259:D322" si="14">RIGHT(A259)</f>
        <v>B</v>
      </c>
      <c r="I259">
        <v>135</v>
      </c>
      <c r="J259" s="4">
        <v>2</v>
      </c>
    </row>
    <row r="260" spans="1:10" x14ac:dyDescent="0.25">
      <c r="A260" t="s">
        <v>262</v>
      </c>
      <c r="B260">
        <f t="shared" si="12"/>
        <v>24</v>
      </c>
      <c r="C260" t="str">
        <f t="shared" si="13"/>
        <v>02</v>
      </c>
      <c r="D260" t="str">
        <f t="shared" si="14"/>
        <v>B</v>
      </c>
      <c r="I260">
        <v>295</v>
      </c>
      <c r="J260" s="4">
        <v>2</v>
      </c>
    </row>
    <row r="261" spans="1:10" x14ac:dyDescent="0.25">
      <c r="A261" t="s">
        <v>263</v>
      </c>
      <c r="B261">
        <f t="shared" si="12"/>
        <v>17</v>
      </c>
      <c r="C261" t="str">
        <f t="shared" si="13"/>
        <v>03</v>
      </c>
      <c r="D261" t="str">
        <f t="shared" si="14"/>
        <v>A</v>
      </c>
      <c r="I261">
        <v>771</v>
      </c>
      <c r="J261" s="4">
        <v>2</v>
      </c>
    </row>
    <row r="262" spans="1:10" x14ac:dyDescent="0.25">
      <c r="A262" t="s">
        <v>264</v>
      </c>
      <c r="B262">
        <f t="shared" si="12"/>
        <v>18</v>
      </c>
      <c r="C262" t="str">
        <f t="shared" si="13"/>
        <v>03</v>
      </c>
      <c r="D262" t="str">
        <f t="shared" si="14"/>
        <v>B</v>
      </c>
      <c r="I262">
        <v>258</v>
      </c>
      <c r="J262" s="4">
        <v>2</v>
      </c>
    </row>
    <row r="263" spans="1:10" x14ac:dyDescent="0.25">
      <c r="A263" t="s">
        <v>265</v>
      </c>
      <c r="B263">
        <f t="shared" si="12"/>
        <v>43</v>
      </c>
      <c r="C263" t="str">
        <f t="shared" si="13"/>
        <v>03</v>
      </c>
      <c r="D263" t="str">
        <f t="shared" si="14"/>
        <v>A</v>
      </c>
      <c r="I263">
        <v>135</v>
      </c>
      <c r="J263" s="4">
        <v>2</v>
      </c>
    </row>
    <row r="264" spans="1:10" x14ac:dyDescent="0.25">
      <c r="A264" t="s">
        <v>266</v>
      </c>
      <c r="B264">
        <f t="shared" si="12"/>
        <v>45</v>
      </c>
      <c r="C264" t="str">
        <f t="shared" si="13"/>
        <v>03</v>
      </c>
      <c r="D264" t="str">
        <f t="shared" si="14"/>
        <v>B</v>
      </c>
      <c r="I264">
        <v>146</v>
      </c>
      <c r="J264" s="4">
        <v>2</v>
      </c>
    </row>
    <row r="265" spans="1:10" x14ac:dyDescent="0.25">
      <c r="A265" t="s">
        <v>267</v>
      </c>
      <c r="B265">
        <f t="shared" si="12"/>
        <v>1</v>
      </c>
      <c r="C265" t="str">
        <f t="shared" si="13"/>
        <v>04</v>
      </c>
      <c r="D265" t="str">
        <f t="shared" si="14"/>
        <v>A</v>
      </c>
      <c r="I265">
        <v>116</v>
      </c>
      <c r="J265" s="4">
        <v>1</v>
      </c>
    </row>
    <row r="266" spans="1:10" x14ac:dyDescent="0.25">
      <c r="A266" t="s">
        <v>268</v>
      </c>
      <c r="B266">
        <f t="shared" si="12"/>
        <v>1</v>
      </c>
      <c r="C266" t="str">
        <f t="shared" si="13"/>
        <v>04</v>
      </c>
      <c r="D266" t="str">
        <f t="shared" si="14"/>
        <v>B</v>
      </c>
      <c r="I266">
        <v>146</v>
      </c>
      <c r="J266" s="4">
        <v>1</v>
      </c>
    </row>
    <row r="267" spans="1:10" x14ac:dyDescent="0.25">
      <c r="A267" t="s">
        <v>269</v>
      </c>
      <c r="B267">
        <f t="shared" si="12"/>
        <v>2</v>
      </c>
      <c r="C267" t="str">
        <f t="shared" si="13"/>
        <v>04</v>
      </c>
      <c r="D267" t="str">
        <f t="shared" si="14"/>
        <v>B</v>
      </c>
      <c r="I267">
        <v>93</v>
      </c>
      <c r="J267" s="4">
        <v>0</v>
      </c>
    </row>
    <row r="268" spans="1:10" x14ac:dyDescent="0.25">
      <c r="A268" t="s">
        <v>270</v>
      </c>
      <c r="B268">
        <f t="shared" si="12"/>
        <v>3</v>
      </c>
      <c r="C268" t="str">
        <f t="shared" si="13"/>
        <v>04</v>
      </c>
      <c r="D268" t="str">
        <f t="shared" si="14"/>
        <v>B</v>
      </c>
      <c r="I268">
        <v>407</v>
      </c>
      <c r="J268" s="4">
        <v>2</v>
      </c>
    </row>
    <row r="269" spans="1:10" x14ac:dyDescent="0.25">
      <c r="A269" t="s">
        <v>271</v>
      </c>
      <c r="B269">
        <f t="shared" si="12"/>
        <v>8</v>
      </c>
      <c r="C269" t="str">
        <f t="shared" si="13"/>
        <v>04</v>
      </c>
      <c r="D269" t="str">
        <f t="shared" si="14"/>
        <v>B</v>
      </c>
      <c r="I269">
        <v>86</v>
      </c>
      <c r="J269" s="4">
        <v>1</v>
      </c>
    </row>
    <row r="270" spans="1:10" x14ac:dyDescent="0.25">
      <c r="A270" t="s">
        <v>272</v>
      </c>
      <c r="B270">
        <f t="shared" si="12"/>
        <v>10</v>
      </c>
      <c r="C270" t="str">
        <f t="shared" si="13"/>
        <v>04</v>
      </c>
      <c r="D270" t="str">
        <f t="shared" si="14"/>
        <v>B</v>
      </c>
      <c r="I270">
        <v>120</v>
      </c>
      <c r="J270" s="4">
        <v>1</v>
      </c>
    </row>
    <row r="271" spans="1:10" x14ac:dyDescent="0.25">
      <c r="A271" t="s">
        <v>273</v>
      </c>
      <c r="B271">
        <f t="shared" si="12"/>
        <v>11</v>
      </c>
      <c r="C271" t="str">
        <f t="shared" si="13"/>
        <v>04</v>
      </c>
      <c r="D271" t="str">
        <f t="shared" si="14"/>
        <v>B</v>
      </c>
      <c r="I271">
        <v>94</v>
      </c>
      <c r="J271" s="4">
        <v>0</v>
      </c>
    </row>
    <row r="272" spans="1:10" x14ac:dyDescent="0.25">
      <c r="A272" t="s">
        <v>274</v>
      </c>
      <c r="B272">
        <f t="shared" si="12"/>
        <v>13</v>
      </c>
      <c r="C272" t="str">
        <f t="shared" si="13"/>
        <v>04</v>
      </c>
      <c r="D272" t="str">
        <f t="shared" si="14"/>
        <v>B</v>
      </c>
      <c r="I272">
        <v>59</v>
      </c>
      <c r="J272" s="4">
        <v>1</v>
      </c>
    </row>
    <row r="273" spans="1:10" x14ac:dyDescent="0.25">
      <c r="A273" t="s">
        <v>275</v>
      </c>
      <c r="B273">
        <f t="shared" si="12"/>
        <v>14</v>
      </c>
      <c r="C273" t="str">
        <f t="shared" si="13"/>
        <v>04</v>
      </c>
      <c r="D273" t="str">
        <f t="shared" si="14"/>
        <v>B</v>
      </c>
      <c r="I273">
        <v>59</v>
      </c>
      <c r="J273" s="4">
        <v>1</v>
      </c>
    </row>
    <row r="274" spans="1:10" x14ac:dyDescent="0.25">
      <c r="A274" t="s">
        <v>276</v>
      </c>
      <c r="B274">
        <f t="shared" si="12"/>
        <v>17</v>
      </c>
      <c r="C274" t="str">
        <f t="shared" si="13"/>
        <v>04</v>
      </c>
      <c r="D274" t="str">
        <f t="shared" si="14"/>
        <v>B</v>
      </c>
      <c r="I274">
        <v>56</v>
      </c>
      <c r="J274" s="4">
        <v>2</v>
      </c>
    </row>
    <row r="275" spans="1:10" x14ac:dyDescent="0.25">
      <c r="A275" t="s">
        <v>277</v>
      </c>
      <c r="B275">
        <f t="shared" si="12"/>
        <v>17</v>
      </c>
      <c r="C275" t="str">
        <f t="shared" si="13"/>
        <v>04</v>
      </c>
      <c r="D275" t="str">
        <f t="shared" si="14"/>
        <v>B</v>
      </c>
      <c r="I275">
        <v>305</v>
      </c>
      <c r="J275" s="4">
        <v>2</v>
      </c>
    </row>
    <row r="276" spans="1:10" x14ac:dyDescent="0.25">
      <c r="A276" t="s">
        <v>278</v>
      </c>
      <c r="B276">
        <f t="shared" si="12"/>
        <v>22</v>
      </c>
      <c r="C276" t="str">
        <f t="shared" si="13"/>
        <v>04</v>
      </c>
      <c r="D276" t="str">
        <f t="shared" si="14"/>
        <v>B</v>
      </c>
      <c r="I276">
        <v>208</v>
      </c>
      <c r="J276" s="4">
        <v>2</v>
      </c>
    </row>
    <row r="277" spans="1:10" x14ac:dyDescent="0.25">
      <c r="A277" t="s">
        <v>279</v>
      </c>
      <c r="B277">
        <f t="shared" si="12"/>
        <v>24</v>
      </c>
      <c r="C277" t="str">
        <f t="shared" si="13"/>
        <v>05</v>
      </c>
      <c r="D277" t="str">
        <f t="shared" si="14"/>
        <v>B</v>
      </c>
      <c r="I277">
        <v>63</v>
      </c>
      <c r="J277" s="4">
        <v>2</v>
      </c>
    </row>
    <row r="278" spans="1:10" x14ac:dyDescent="0.25">
      <c r="A278" t="s">
        <v>280</v>
      </c>
      <c r="B278">
        <f t="shared" si="12"/>
        <v>24</v>
      </c>
      <c r="C278" t="str">
        <f t="shared" si="13"/>
        <v>05</v>
      </c>
      <c r="D278" t="str">
        <f t="shared" si="14"/>
        <v>B</v>
      </c>
      <c r="I278">
        <v>150</v>
      </c>
      <c r="J278" s="4">
        <v>2</v>
      </c>
    </row>
    <row r="279" spans="1:10" x14ac:dyDescent="0.25">
      <c r="A279" t="s">
        <v>281</v>
      </c>
      <c r="B279">
        <f t="shared" si="12"/>
        <v>31</v>
      </c>
      <c r="C279" t="str">
        <f t="shared" si="13"/>
        <v>05</v>
      </c>
      <c r="D279" t="str">
        <f t="shared" si="14"/>
        <v>B</v>
      </c>
      <c r="I279">
        <v>395</v>
      </c>
      <c r="J279" s="4">
        <v>2</v>
      </c>
    </row>
    <row r="280" spans="1:10" x14ac:dyDescent="0.25">
      <c r="A280" t="s">
        <v>282</v>
      </c>
      <c r="B280">
        <f t="shared" si="12"/>
        <v>31</v>
      </c>
      <c r="C280" t="str">
        <f t="shared" si="13"/>
        <v>05</v>
      </c>
      <c r="D280" t="str">
        <f t="shared" si="14"/>
        <v>B</v>
      </c>
      <c r="I280">
        <v>223</v>
      </c>
      <c r="J280" s="4">
        <v>2</v>
      </c>
    </row>
    <row r="281" spans="1:10" x14ac:dyDescent="0.25">
      <c r="A281" t="s">
        <v>283</v>
      </c>
      <c r="B281">
        <f t="shared" si="12"/>
        <v>40</v>
      </c>
      <c r="C281" t="str">
        <f t="shared" si="13"/>
        <v>05</v>
      </c>
      <c r="D281" t="str">
        <f t="shared" si="14"/>
        <v>B</v>
      </c>
      <c r="I281">
        <v>288</v>
      </c>
      <c r="J281" s="4">
        <v>2</v>
      </c>
    </row>
    <row r="282" spans="1:10" x14ac:dyDescent="0.25">
      <c r="A282" t="s">
        <v>284</v>
      </c>
      <c r="B282">
        <f t="shared" si="12"/>
        <v>40</v>
      </c>
      <c r="C282" t="str">
        <f t="shared" si="13"/>
        <v>05</v>
      </c>
      <c r="D282" t="str">
        <f t="shared" si="14"/>
        <v>B</v>
      </c>
      <c r="I282">
        <v>160</v>
      </c>
      <c r="J282" s="4">
        <v>2</v>
      </c>
    </row>
    <row r="283" spans="1:10" x14ac:dyDescent="0.25">
      <c r="A283" t="s">
        <v>285</v>
      </c>
      <c r="B283">
        <f t="shared" si="12"/>
        <v>45</v>
      </c>
      <c r="C283" t="str">
        <f t="shared" si="13"/>
        <v>05</v>
      </c>
      <c r="D283" t="str">
        <f t="shared" si="14"/>
        <v>B</v>
      </c>
      <c r="I283">
        <v>213</v>
      </c>
      <c r="J283" s="4">
        <v>2</v>
      </c>
    </row>
    <row r="284" spans="1:10" x14ac:dyDescent="0.25">
      <c r="A284" t="s">
        <v>286</v>
      </c>
      <c r="B284">
        <f t="shared" si="12"/>
        <v>45</v>
      </c>
      <c r="C284" t="str">
        <f t="shared" si="13"/>
        <v>05</v>
      </c>
      <c r="D284" t="str">
        <f t="shared" si="14"/>
        <v>B</v>
      </c>
      <c r="I284">
        <v>94</v>
      </c>
      <c r="J284" s="4">
        <v>1</v>
      </c>
    </row>
    <row r="285" spans="1:10" x14ac:dyDescent="0.25">
      <c r="A285" t="s">
        <v>287</v>
      </c>
      <c r="B285">
        <f t="shared" si="12"/>
        <v>52</v>
      </c>
      <c r="C285" t="str">
        <f t="shared" si="13"/>
        <v>05</v>
      </c>
      <c r="D285" t="str">
        <f t="shared" si="14"/>
        <v>B</v>
      </c>
      <c r="I285">
        <v>163</v>
      </c>
      <c r="J285" s="4">
        <v>2</v>
      </c>
    </row>
    <row r="286" spans="1:10" x14ac:dyDescent="0.25">
      <c r="A286" t="s">
        <v>288</v>
      </c>
      <c r="B286">
        <f t="shared" si="12"/>
        <v>54</v>
      </c>
      <c r="C286" t="str">
        <f t="shared" si="13"/>
        <v>05</v>
      </c>
      <c r="D286" t="str">
        <f t="shared" si="14"/>
        <v>B</v>
      </c>
      <c r="I286">
        <v>97</v>
      </c>
      <c r="J286" s="4">
        <v>2</v>
      </c>
    </row>
    <row r="287" spans="1:10" x14ac:dyDescent="0.25">
      <c r="A287" t="s">
        <v>289</v>
      </c>
      <c r="B287">
        <f t="shared" si="12"/>
        <v>1</v>
      </c>
      <c r="C287" t="str">
        <f t="shared" si="13"/>
        <v>06</v>
      </c>
      <c r="D287" t="str">
        <f t="shared" si="14"/>
        <v>B</v>
      </c>
      <c r="I287">
        <v>59</v>
      </c>
      <c r="J287" s="4">
        <v>0</v>
      </c>
    </row>
    <row r="288" spans="1:10" x14ac:dyDescent="0.25">
      <c r="A288" t="s">
        <v>290</v>
      </c>
      <c r="B288">
        <f t="shared" si="12"/>
        <v>12</v>
      </c>
      <c r="C288" t="str">
        <f t="shared" si="13"/>
        <v>06</v>
      </c>
      <c r="D288" t="str">
        <f t="shared" si="14"/>
        <v>B</v>
      </c>
      <c r="I288">
        <v>103</v>
      </c>
      <c r="J288" s="4">
        <v>2</v>
      </c>
    </row>
    <row r="289" spans="1:10" x14ac:dyDescent="0.25">
      <c r="A289" t="s">
        <v>291</v>
      </c>
      <c r="B289">
        <f t="shared" si="12"/>
        <v>17</v>
      </c>
      <c r="C289" t="str">
        <f t="shared" si="13"/>
        <v>06</v>
      </c>
      <c r="D289" t="str">
        <f t="shared" si="14"/>
        <v>B</v>
      </c>
      <c r="I289">
        <v>122</v>
      </c>
      <c r="J289" s="4">
        <v>2</v>
      </c>
    </row>
    <row r="290" spans="1:10" x14ac:dyDescent="0.25">
      <c r="A290" t="s">
        <v>292</v>
      </c>
      <c r="B290">
        <f t="shared" si="12"/>
        <v>24</v>
      </c>
      <c r="C290" t="str">
        <f t="shared" si="13"/>
        <v>06</v>
      </c>
      <c r="D290" t="str">
        <f t="shared" si="14"/>
        <v>B</v>
      </c>
      <c r="I290">
        <v>187</v>
      </c>
      <c r="J290" s="4">
        <v>1</v>
      </c>
    </row>
    <row r="291" spans="1:10" x14ac:dyDescent="0.25">
      <c r="A291" t="s">
        <v>293</v>
      </c>
      <c r="B291">
        <f t="shared" si="12"/>
        <v>30</v>
      </c>
      <c r="C291" t="str">
        <f t="shared" si="13"/>
        <v>06</v>
      </c>
      <c r="D291" t="str">
        <f t="shared" si="14"/>
        <v>A</v>
      </c>
      <c r="I291">
        <v>292</v>
      </c>
      <c r="J291" s="4">
        <v>1</v>
      </c>
    </row>
    <row r="292" spans="1:10" x14ac:dyDescent="0.25">
      <c r="A292" t="s">
        <v>294</v>
      </c>
      <c r="B292">
        <f t="shared" si="12"/>
        <v>30</v>
      </c>
      <c r="C292" t="str">
        <f t="shared" si="13"/>
        <v>06</v>
      </c>
      <c r="D292" t="str">
        <f t="shared" si="14"/>
        <v>B</v>
      </c>
      <c r="I292">
        <v>162</v>
      </c>
      <c r="J292" s="4">
        <v>1</v>
      </c>
    </row>
    <row r="293" spans="1:10" x14ac:dyDescent="0.25">
      <c r="A293" t="s">
        <v>295</v>
      </c>
      <c r="B293">
        <f t="shared" si="12"/>
        <v>35</v>
      </c>
      <c r="C293" t="str">
        <f t="shared" si="13"/>
        <v>06</v>
      </c>
      <c r="D293" t="str">
        <f t="shared" si="14"/>
        <v>B</v>
      </c>
      <c r="I293">
        <v>130</v>
      </c>
      <c r="J293" s="4">
        <v>2</v>
      </c>
    </row>
    <row r="294" spans="1:10" x14ac:dyDescent="0.25">
      <c r="A294" t="s">
        <v>296</v>
      </c>
      <c r="B294">
        <f t="shared" si="12"/>
        <v>43</v>
      </c>
      <c r="C294" t="str">
        <f t="shared" si="13"/>
        <v>06</v>
      </c>
      <c r="D294" t="str">
        <f t="shared" si="14"/>
        <v>B</v>
      </c>
      <c r="I294">
        <v>210</v>
      </c>
      <c r="J294" s="4">
        <v>2</v>
      </c>
    </row>
    <row r="295" spans="1:10" x14ac:dyDescent="0.25">
      <c r="A295" t="s">
        <v>297</v>
      </c>
      <c r="B295">
        <f t="shared" si="12"/>
        <v>2</v>
      </c>
      <c r="C295" t="str">
        <f t="shared" si="13"/>
        <v>07</v>
      </c>
      <c r="D295" t="str">
        <f t="shared" si="14"/>
        <v>B</v>
      </c>
      <c r="I295">
        <v>301</v>
      </c>
      <c r="J295" s="4">
        <v>2</v>
      </c>
    </row>
    <row r="296" spans="1:10" x14ac:dyDescent="0.25">
      <c r="A296" t="s">
        <v>298</v>
      </c>
      <c r="B296">
        <f t="shared" si="12"/>
        <v>2</v>
      </c>
      <c r="C296" t="str">
        <f t="shared" si="13"/>
        <v>07</v>
      </c>
      <c r="D296" t="str">
        <f t="shared" si="14"/>
        <v>C</v>
      </c>
      <c r="I296">
        <v>399</v>
      </c>
      <c r="J296" s="4">
        <v>2</v>
      </c>
    </row>
    <row r="297" spans="1:10" x14ac:dyDescent="0.25">
      <c r="A297" t="s">
        <v>299</v>
      </c>
      <c r="B297">
        <f t="shared" si="12"/>
        <v>2</v>
      </c>
      <c r="C297" t="str">
        <f t="shared" si="13"/>
        <v>07</v>
      </c>
      <c r="D297" t="str">
        <f t="shared" si="14"/>
        <v>B</v>
      </c>
      <c r="I297">
        <v>145</v>
      </c>
      <c r="J297" s="4">
        <v>2</v>
      </c>
    </row>
    <row r="298" spans="1:10" x14ac:dyDescent="0.25">
      <c r="A298" t="s">
        <v>300</v>
      </c>
      <c r="B298">
        <f t="shared" si="12"/>
        <v>11</v>
      </c>
      <c r="C298" t="str">
        <f t="shared" si="13"/>
        <v>07</v>
      </c>
      <c r="D298" t="str">
        <f t="shared" si="14"/>
        <v>A</v>
      </c>
      <c r="I298">
        <v>404</v>
      </c>
      <c r="J298" s="4">
        <v>2</v>
      </c>
    </row>
    <row r="299" spans="1:10" x14ac:dyDescent="0.25">
      <c r="A299" t="s">
        <v>301</v>
      </c>
      <c r="B299">
        <f t="shared" si="12"/>
        <v>24</v>
      </c>
      <c r="C299" t="str">
        <f t="shared" si="13"/>
        <v>07</v>
      </c>
      <c r="D299" t="str">
        <f t="shared" si="14"/>
        <v>B</v>
      </c>
      <c r="I299">
        <v>258</v>
      </c>
      <c r="J299" s="4">
        <v>2</v>
      </c>
    </row>
    <row r="300" spans="1:10" x14ac:dyDescent="0.25">
      <c r="A300" t="s">
        <v>302</v>
      </c>
      <c r="B300">
        <f t="shared" si="12"/>
        <v>52</v>
      </c>
      <c r="C300" t="str">
        <f t="shared" si="13"/>
        <v>07</v>
      </c>
      <c r="D300" t="str">
        <f t="shared" si="14"/>
        <v>B</v>
      </c>
      <c r="I300">
        <v>64</v>
      </c>
      <c r="J300" s="4">
        <v>2</v>
      </c>
    </row>
    <row r="301" spans="1:10" x14ac:dyDescent="0.25">
      <c r="A301" t="s">
        <v>303</v>
      </c>
      <c r="B301">
        <f t="shared" si="12"/>
        <v>21</v>
      </c>
      <c r="C301" t="str">
        <f t="shared" si="13"/>
        <v>X1</v>
      </c>
      <c r="D301" t="str">
        <f t="shared" si="14"/>
        <v>B</v>
      </c>
      <c r="I301">
        <v>313</v>
      </c>
      <c r="J301" s="4">
        <v>1</v>
      </c>
    </row>
    <row r="302" spans="1:10" x14ac:dyDescent="0.25">
      <c r="A302" t="s">
        <v>304</v>
      </c>
      <c r="B302">
        <f t="shared" si="12"/>
        <v>24</v>
      </c>
      <c r="C302" t="str">
        <f t="shared" si="13"/>
        <v>X1</v>
      </c>
      <c r="D302" t="str">
        <f t="shared" si="14"/>
        <v>B</v>
      </c>
      <c r="I302">
        <v>225</v>
      </c>
      <c r="J302" s="4">
        <v>2</v>
      </c>
    </row>
    <row r="303" spans="1:10" x14ac:dyDescent="0.25">
      <c r="A303" t="s">
        <v>305</v>
      </c>
      <c r="B303">
        <f t="shared" si="12"/>
        <v>28</v>
      </c>
      <c r="C303" t="str">
        <f t="shared" si="13"/>
        <v>X1</v>
      </c>
      <c r="D303" t="str">
        <f t="shared" si="14"/>
        <v>B</v>
      </c>
      <c r="I303">
        <v>144</v>
      </c>
      <c r="J303" s="4">
        <v>1</v>
      </c>
    </row>
    <row r="304" spans="1:10" x14ac:dyDescent="0.25">
      <c r="A304" t="s">
        <v>306</v>
      </c>
      <c r="B304">
        <f t="shared" si="12"/>
        <v>3</v>
      </c>
      <c r="C304" t="str">
        <f t="shared" si="13"/>
        <v>X3</v>
      </c>
      <c r="D304" t="str">
        <f t="shared" si="14"/>
        <v>A</v>
      </c>
      <c r="I304">
        <v>398</v>
      </c>
      <c r="J304" s="4">
        <v>2</v>
      </c>
    </row>
    <row r="305" spans="1:10" x14ac:dyDescent="0.25">
      <c r="A305" t="s">
        <v>307</v>
      </c>
      <c r="B305">
        <f t="shared" si="12"/>
        <v>3</v>
      </c>
      <c r="C305" t="str">
        <f t="shared" si="13"/>
        <v>X3</v>
      </c>
      <c r="D305" t="str">
        <f t="shared" si="14"/>
        <v>B</v>
      </c>
      <c r="I305">
        <v>133</v>
      </c>
      <c r="J305" s="4">
        <v>1</v>
      </c>
    </row>
    <row r="306" spans="1:10" x14ac:dyDescent="0.25">
      <c r="A306" t="s">
        <v>308</v>
      </c>
      <c r="B306">
        <f t="shared" si="12"/>
        <v>5</v>
      </c>
      <c r="C306" t="str">
        <f t="shared" si="13"/>
        <v>X3</v>
      </c>
      <c r="D306" t="str">
        <f t="shared" si="14"/>
        <v>A</v>
      </c>
      <c r="I306">
        <v>251</v>
      </c>
      <c r="J306" s="4">
        <v>2</v>
      </c>
    </row>
    <row r="307" spans="1:10" x14ac:dyDescent="0.25">
      <c r="A307" t="s">
        <v>309</v>
      </c>
      <c r="B307">
        <f t="shared" si="12"/>
        <v>5</v>
      </c>
      <c r="C307" t="str">
        <f t="shared" si="13"/>
        <v>X3</v>
      </c>
      <c r="D307" t="str">
        <f t="shared" si="14"/>
        <v>B</v>
      </c>
      <c r="I307">
        <v>126</v>
      </c>
      <c r="J307" s="4">
        <v>2</v>
      </c>
    </row>
    <row r="308" spans="1:10" x14ac:dyDescent="0.25">
      <c r="A308" t="s">
        <v>310</v>
      </c>
      <c r="B308">
        <f t="shared" si="12"/>
        <v>8</v>
      </c>
      <c r="C308" t="str">
        <f t="shared" si="13"/>
        <v>X3</v>
      </c>
      <c r="D308" t="str">
        <f t="shared" si="14"/>
        <v>A</v>
      </c>
      <c r="I308">
        <v>344</v>
      </c>
      <c r="J308" s="4">
        <v>2</v>
      </c>
    </row>
    <row r="309" spans="1:10" x14ac:dyDescent="0.25">
      <c r="A309" t="s">
        <v>311</v>
      </c>
      <c r="B309">
        <f t="shared" si="12"/>
        <v>2</v>
      </c>
      <c r="C309" t="str">
        <f t="shared" si="13"/>
        <v>X4</v>
      </c>
      <c r="D309" t="str">
        <f t="shared" si="14"/>
        <v>A</v>
      </c>
      <c r="I309">
        <v>87</v>
      </c>
      <c r="J309" s="4">
        <v>0</v>
      </c>
    </row>
    <row r="310" spans="1:10" x14ac:dyDescent="0.25">
      <c r="A310" t="s">
        <v>312</v>
      </c>
      <c r="B310">
        <f t="shared" si="12"/>
        <v>1</v>
      </c>
      <c r="C310" t="str">
        <f t="shared" si="13"/>
        <v>X6</v>
      </c>
      <c r="D310" t="str">
        <f t="shared" si="14"/>
        <v>B</v>
      </c>
      <c r="I310">
        <v>216</v>
      </c>
      <c r="J310" s="4">
        <v>1</v>
      </c>
    </row>
    <row r="311" spans="1:10" x14ac:dyDescent="0.25">
      <c r="A311" t="s">
        <v>313</v>
      </c>
      <c r="B311">
        <f t="shared" si="12"/>
        <v>1</v>
      </c>
      <c r="C311" t="str">
        <f t="shared" si="13"/>
        <v>X6</v>
      </c>
      <c r="D311" t="str">
        <f t="shared" si="14"/>
        <v>C</v>
      </c>
      <c r="I311">
        <v>111</v>
      </c>
      <c r="J311" s="4">
        <v>1</v>
      </c>
    </row>
    <row r="312" spans="1:10" x14ac:dyDescent="0.25">
      <c r="A312" t="s">
        <v>314</v>
      </c>
      <c r="B312">
        <f t="shared" si="12"/>
        <v>1</v>
      </c>
      <c r="C312" t="str">
        <f t="shared" si="13"/>
        <v>X6</v>
      </c>
      <c r="D312" t="str">
        <f t="shared" si="14"/>
        <v>D</v>
      </c>
      <c r="I312">
        <v>129</v>
      </c>
      <c r="J312" s="4">
        <v>1</v>
      </c>
    </row>
    <row r="313" spans="1:10" x14ac:dyDescent="0.25">
      <c r="A313" t="s">
        <v>315</v>
      </c>
      <c r="B313">
        <f t="shared" si="12"/>
        <v>4</v>
      </c>
      <c r="C313" t="str">
        <f t="shared" si="13"/>
        <v>X6</v>
      </c>
      <c r="D313" t="str">
        <f t="shared" si="14"/>
        <v>B</v>
      </c>
      <c r="I313">
        <v>198</v>
      </c>
      <c r="J313" s="4">
        <v>1</v>
      </c>
    </row>
    <row r="314" spans="1:10" x14ac:dyDescent="0.25">
      <c r="A314" t="s">
        <v>316</v>
      </c>
      <c r="B314">
        <f t="shared" si="12"/>
        <v>27</v>
      </c>
      <c r="C314" t="str">
        <f t="shared" si="13"/>
        <v>X6</v>
      </c>
      <c r="D314" t="str">
        <f t="shared" si="14"/>
        <v>B</v>
      </c>
      <c r="I314">
        <v>59</v>
      </c>
      <c r="J314" s="4">
        <v>1</v>
      </c>
    </row>
    <row r="315" spans="1:10" x14ac:dyDescent="0.25">
      <c r="A315" t="s">
        <v>317</v>
      </c>
      <c r="B315">
        <f t="shared" si="12"/>
        <v>2</v>
      </c>
      <c r="C315" t="str">
        <f t="shared" si="13"/>
        <v>02</v>
      </c>
      <c r="D315" t="str">
        <f t="shared" si="14"/>
        <v>B</v>
      </c>
      <c r="I315">
        <v>0</v>
      </c>
      <c r="J315" s="4">
        <v>0</v>
      </c>
    </row>
    <row r="316" spans="1:10" x14ac:dyDescent="0.25">
      <c r="A316" t="s">
        <v>318</v>
      </c>
      <c r="B316">
        <f t="shared" si="12"/>
        <v>3</v>
      </c>
      <c r="C316" t="str">
        <f t="shared" si="13"/>
        <v>02</v>
      </c>
      <c r="D316" t="str">
        <f t="shared" si="14"/>
        <v>A</v>
      </c>
      <c r="I316">
        <v>86</v>
      </c>
      <c r="J316" s="4">
        <v>0</v>
      </c>
    </row>
    <row r="317" spans="1:10" x14ac:dyDescent="0.25">
      <c r="A317" t="s">
        <v>319</v>
      </c>
      <c r="B317">
        <f t="shared" si="12"/>
        <v>3</v>
      </c>
      <c r="C317" t="str">
        <f t="shared" si="13"/>
        <v>02</v>
      </c>
      <c r="D317" t="str">
        <f t="shared" si="14"/>
        <v>B</v>
      </c>
      <c r="I317">
        <v>54</v>
      </c>
      <c r="J317" s="4">
        <v>0</v>
      </c>
    </row>
    <row r="318" spans="1:10" x14ac:dyDescent="0.25">
      <c r="A318" t="s">
        <v>320</v>
      </c>
      <c r="B318">
        <f t="shared" si="12"/>
        <v>5</v>
      </c>
      <c r="C318" t="str">
        <f t="shared" si="13"/>
        <v>02</v>
      </c>
      <c r="D318" t="str">
        <f t="shared" si="14"/>
        <v>B</v>
      </c>
      <c r="I318">
        <v>0</v>
      </c>
      <c r="J318" s="4">
        <v>1</v>
      </c>
    </row>
    <row r="319" spans="1:10" x14ac:dyDescent="0.25">
      <c r="A319" t="s">
        <v>321</v>
      </c>
      <c r="B319">
        <f t="shared" si="12"/>
        <v>8</v>
      </c>
      <c r="C319" t="str">
        <f t="shared" si="13"/>
        <v>02</v>
      </c>
      <c r="D319" t="str">
        <f t="shared" si="14"/>
        <v>B</v>
      </c>
      <c r="I319">
        <v>0</v>
      </c>
      <c r="J319" s="4">
        <v>0</v>
      </c>
    </row>
    <row r="320" spans="1:10" x14ac:dyDescent="0.25">
      <c r="A320" t="s">
        <v>322</v>
      </c>
      <c r="B320">
        <f t="shared" si="12"/>
        <v>10</v>
      </c>
      <c r="C320" t="str">
        <f t="shared" si="13"/>
        <v>02</v>
      </c>
      <c r="D320" t="str">
        <f t="shared" si="14"/>
        <v>B</v>
      </c>
      <c r="I320">
        <v>0</v>
      </c>
      <c r="J320" s="4">
        <v>0</v>
      </c>
    </row>
    <row r="321" spans="1:10" x14ac:dyDescent="0.25">
      <c r="A321" t="s">
        <v>323</v>
      </c>
      <c r="B321">
        <f t="shared" si="12"/>
        <v>11</v>
      </c>
      <c r="C321" t="str">
        <f t="shared" si="13"/>
        <v>02</v>
      </c>
      <c r="D321" t="str">
        <f t="shared" si="14"/>
        <v>B</v>
      </c>
      <c r="I321">
        <v>39</v>
      </c>
      <c r="J321" s="4">
        <v>1</v>
      </c>
    </row>
    <row r="322" spans="1:10" x14ac:dyDescent="0.25">
      <c r="A322" t="s">
        <v>324</v>
      </c>
      <c r="B322">
        <f t="shared" si="12"/>
        <v>14</v>
      </c>
      <c r="C322" t="str">
        <f t="shared" si="13"/>
        <v>02</v>
      </c>
      <c r="D322" t="str">
        <f t="shared" si="14"/>
        <v>B</v>
      </c>
      <c r="I322">
        <v>42</v>
      </c>
      <c r="J322" s="4">
        <v>0</v>
      </c>
    </row>
    <row r="323" spans="1:10" x14ac:dyDescent="0.25">
      <c r="A323" t="s">
        <v>325</v>
      </c>
      <c r="B323">
        <f t="shared" ref="B323:B338" si="15">MID(A323,4,2)+0</f>
        <v>7</v>
      </c>
      <c r="C323" t="str">
        <f t="shared" ref="C323:C338" si="16">LEFT(A323,2)</f>
        <v>03</v>
      </c>
      <c r="D323" t="str">
        <f t="shared" ref="D323:D338" si="17">RIGHT(A323)</f>
        <v>B</v>
      </c>
      <c r="I323">
        <v>69</v>
      </c>
      <c r="J323" s="4">
        <v>0</v>
      </c>
    </row>
    <row r="324" spans="1:10" x14ac:dyDescent="0.25">
      <c r="A324" t="s">
        <v>326</v>
      </c>
      <c r="B324">
        <f t="shared" si="15"/>
        <v>24</v>
      </c>
      <c r="C324" t="str">
        <f t="shared" si="16"/>
        <v>03</v>
      </c>
      <c r="D324" t="str">
        <f t="shared" si="17"/>
        <v>B</v>
      </c>
      <c r="I324">
        <v>0</v>
      </c>
      <c r="J324" s="4">
        <v>2</v>
      </c>
    </row>
    <row r="325" spans="1:10" x14ac:dyDescent="0.25">
      <c r="A325" t="s">
        <v>327</v>
      </c>
      <c r="B325">
        <f t="shared" si="15"/>
        <v>1</v>
      </c>
      <c r="C325" t="str">
        <f t="shared" si="16"/>
        <v>04</v>
      </c>
      <c r="D325" t="str">
        <f t="shared" si="17"/>
        <v>C</v>
      </c>
      <c r="I325">
        <v>13</v>
      </c>
      <c r="J325" s="4">
        <v>0</v>
      </c>
    </row>
    <row r="326" spans="1:10" x14ac:dyDescent="0.25">
      <c r="A326" t="s">
        <v>328</v>
      </c>
      <c r="B326">
        <f t="shared" si="15"/>
        <v>3</v>
      </c>
      <c r="C326" t="str">
        <f t="shared" si="16"/>
        <v>04</v>
      </c>
      <c r="D326" t="str">
        <f t="shared" si="17"/>
        <v>B</v>
      </c>
      <c r="I326">
        <v>32</v>
      </c>
      <c r="J326" s="4">
        <v>0</v>
      </c>
    </row>
    <row r="327" spans="1:10" x14ac:dyDescent="0.25">
      <c r="A327" t="s">
        <v>329</v>
      </c>
      <c r="B327">
        <f t="shared" si="15"/>
        <v>5</v>
      </c>
      <c r="C327" t="str">
        <f t="shared" si="16"/>
        <v>04</v>
      </c>
      <c r="D327" t="str">
        <f t="shared" si="17"/>
        <v>B</v>
      </c>
      <c r="I327">
        <v>0</v>
      </c>
      <c r="J327" s="4">
        <v>0</v>
      </c>
    </row>
    <row r="328" spans="1:10" x14ac:dyDescent="0.25">
      <c r="A328" t="s">
        <v>330</v>
      </c>
      <c r="B328">
        <f t="shared" si="15"/>
        <v>8</v>
      </c>
      <c r="C328" t="str">
        <f t="shared" si="16"/>
        <v>04</v>
      </c>
      <c r="D328" t="str">
        <f t="shared" si="17"/>
        <v>B</v>
      </c>
      <c r="I328">
        <v>0</v>
      </c>
      <c r="J328" s="4">
        <v>1</v>
      </c>
    </row>
    <row r="329" spans="1:10" x14ac:dyDescent="0.25">
      <c r="A329" t="s">
        <v>331</v>
      </c>
      <c r="B329">
        <f t="shared" si="15"/>
        <v>3</v>
      </c>
      <c r="C329" t="str">
        <f t="shared" si="16"/>
        <v>06</v>
      </c>
      <c r="D329" t="str">
        <f t="shared" si="17"/>
        <v>B</v>
      </c>
      <c r="I329">
        <v>0</v>
      </c>
      <c r="J329" s="4">
        <v>0</v>
      </c>
    </row>
    <row r="330" spans="1:10" x14ac:dyDescent="0.25">
      <c r="A330" t="s">
        <v>332</v>
      </c>
      <c r="B330">
        <f t="shared" si="15"/>
        <v>5</v>
      </c>
      <c r="C330" t="str">
        <f t="shared" si="16"/>
        <v>06</v>
      </c>
      <c r="D330" t="str">
        <f t="shared" si="17"/>
        <v>B</v>
      </c>
      <c r="I330">
        <v>0</v>
      </c>
      <c r="J330" s="4">
        <v>2</v>
      </c>
    </row>
    <row r="331" spans="1:10" x14ac:dyDescent="0.25">
      <c r="A331" t="s">
        <v>333</v>
      </c>
      <c r="B331">
        <f t="shared" si="15"/>
        <v>8</v>
      </c>
      <c r="C331" t="str">
        <f t="shared" si="16"/>
        <v>06</v>
      </c>
      <c r="D331" t="str">
        <f t="shared" si="17"/>
        <v>B</v>
      </c>
      <c r="I331">
        <v>44</v>
      </c>
      <c r="J331" s="4">
        <v>0</v>
      </c>
    </row>
    <row r="332" spans="1:10" x14ac:dyDescent="0.25">
      <c r="A332" t="s">
        <v>334</v>
      </c>
      <c r="B332">
        <f t="shared" si="15"/>
        <v>14</v>
      </c>
      <c r="C332" t="str">
        <f t="shared" si="16"/>
        <v>06</v>
      </c>
      <c r="D332" t="str">
        <f t="shared" si="17"/>
        <v>B</v>
      </c>
      <c r="I332">
        <v>26</v>
      </c>
      <c r="J332" s="4">
        <v>0</v>
      </c>
    </row>
    <row r="333" spans="1:10" x14ac:dyDescent="0.25">
      <c r="A333" t="s">
        <v>335</v>
      </c>
      <c r="B333">
        <f t="shared" si="15"/>
        <v>24</v>
      </c>
      <c r="C333" t="str">
        <f t="shared" si="16"/>
        <v>06</v>
      </c>
      <c r="D333" t="str">
        <f t="shared" si="17"/>
        <v>B</v>
      </c>
      <c r="I333">
        <v>0</v>
      </c>
      <c r="J333" s="4">
        <v>0</v>
      </c>
    </row>
    <row r="334" spans="1:10" x14ac:dyDescent="0.25">
      <c r="A334" t="s">
        <v>336</v>
      </c>
      <c r="B334">
        <f t="shared" si="15"/>
        <v>5</v>
      </c>
      <c r="C334" t="str">
        <f t="shared" si="16"/>
        <v>07</v>
      </c>
      <c r="D334" t="str">
        <f t="shared" si="17"/>
        <v>B</v>
      </c>
      <c r="I334">
        <v>0</v>
      </c>
      <c r="J334" s="4">
        <v>0</v>
      </c>
    </row>
    <row r="335" spans="1:10" x14ac:dyDescent="0.25">
      <c r="A335" t="s">
        <v>337</v>
      </c>
      <c r="B335">
        <f t="shared" si="15"/>
        <v>8</v>
      </c>
      <c r="C335" t="str">
        <f t="shared" si="16"/>
        <v>X3</v>
      </c>
      <c r="D335" t="str">
        <f t="shared" si="17"/>
        <v>B</v>
      </c>
      <c r="I335">
        <v>0</v>
      </c>
      <c r="J335" s="4">
        <v>0</v>
      </c>
    </row>
    <row r="336" spans="1:10" x14ac:dyDescent="0.25">
      <c r="A336" t="s">
        <v>338</v>
      </c>
      <c r="B336">
        <f t="shared" si="15"/>
        <v>2</v>
      </c>
      <c r="C336" t="str">
        <f t="shared" si="16"/>
        <v>X4</v>
      </c>
      <c r="D336" t="str">
        <f t="shared" si="17"/>
        <v>B</v>
      </c>
      <c r="I336">
        <v>36</v>
      </c>
      <c r="J336" s="4">
        <v>0</v>
      </c>
    </row>
    <row r="337" spans="1:10" x14ac:dyDescent="0.25">
      <c r="A337" t="s">
        <v>339</v>
      </c>
      <c r="B337">
        <f t="shared" si="15"/>
        <v>1</v>
      </c>
      <c r="C337" t="str">
        <f t="shared" si="16"/>
        <v>X4</v>
      </c>
      <c r="D337" t="str">
        <f t="shared" si="17"/>
        <v>B</v>
      </c>
      <c r="I337">
        <v>24</v>
      </c>
      <c r="J337" s="4">
        <v>0</v>
      </c>
    </row>
    <row r="338" spans="1:10" x14ac:dyDescent="0.25">
      <c r="A338" t="s">
        <v>340</v>
      </c>
      <c r="B338">
        <f t="shared" si="15"/>
        <v>1</v>
      </c>
      <c r="C338" t="str">
        <f t="shared" si="16"/>
        <v>X7</v>
      </c>
      <c r="D338" t="str">
        <f t="shared" si="17"/>
        <v>B</v>
      </c>
      <c r="I338">
        <v>13</v>
      </c>
      <c r="J338" s="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"/>
  <sheetViews>
    <sheetView workbookViewId="0">
      <pane ySplit="1" topLeftCell="A2" activePane="bottomLeft" state="frozen"/>
      <selection pane="bottomLeft" sqref="A1:A338"/>
    </sheetView>
  </sheetViews>
  <sheetFormatPr defaultColWidth="11.42578125" defaultRowHeight="15" x14ac:dyDescent="0.25"/>
  <cols>
    <col min="5" max="5" width="19.7109375" bestFit="1" customWidth="1"/>
    <col min="6" max="6" width="17" bestFit="1" customWidth="1"/>
    <col min="7" max="7" width="19.85546875" bestFit="1" customWidth="1"/>
    <col min="8" max="8" width="19.85546875" customWidth="1"/>
    <col min="9" max="9" width="23.85546875" bestFit="1" customWidth="1"/>
    <col min="10" max="10" width="17.42578125" bestFit="1" customWidth="1"/>
    <col min="11" max="11" width="20.140625" bestFit="1" customWidth="1"/>
    <col min="12" max="12" width="20.140625" customWidth="1"/>
    <col min="13" max="13" width="24.140625" bestFit="1" customWidth="1"/>
  </cols>
  <sheetData>
    <row r="1" spans="1:14" x14ac:dyDescent="0.25">
      <c r="A1" t="s">
        <v>0</v>
      </c>
      <c r="B1" t="s">
        <v>341</v>
      </c>
      <c r="C1" t="s">
        <v>343</v>
      </c>
      <c r="D1" t="s">
        <v>342</v>
      </c>
      <c r="E1" t="s">
        <v>345</v>
      </c>
      <c r="F1" t="s">
        <v>1</v>
      </c>
      <c r="G1" t="s">
        <v>346</v>
      </c>
      <c r="H1" t="s">
        <v>348</v>
      </c>
      <c r="I1" t="s">
        <v>349</v>
      </c>
      <c r="J1" t="s">
        <v>2</v>
      </c>
      <c r="K1" t="s">
        <v>347</v>
      </c>
      <c r="L1" t="s">
        <v>350</v>
      </c>
      <c r="M1" t="s">
        <v>351</v>
      </c>
      <c r="N1" t="s">
        <v>3</v>
      </c>
    </row>
    <row r="2" spans="1:14" x14ac:dyDescent="0.25">
      <c r="A2" t="s">
        <v>4</v>
      </c>
      <c r="B2">
        <f t="shared" ref="B2:B65" si="0">MID(A2,4,2)+0</f>
        <v>3</v>
      </c>
      <c r="C2" t="str">
        <f t="shared" ref="C2:C65" si="1">LEFT(A2,2)</f>
        <v>01</v>
      </c>
      <c r="D2" t="str">
        <f t="shared" ref="D2:D65" si="2">RIGHT(A2)</f>
        <v>A</v>
      </c>
      <c r="E2">
        <v>196</v>
      </c>
      <c r="F2">
        <v>17</v>
      </c>
      <c r="G2" s="4">
        <v>0</v>
      </c>
      <c r="H2" s="5"/>
      <c r="I2" s="5"/>
      <c r="N2">
        <v>27</v>
      </c>
    </row>
    <row r="3" spans="1:14" x14ac:dyDescent="0.25">
      <c r="A3" t="s">
        <v>5</v>
      </c>
      <c r="B3">
        <f t="shared" si="0"/>
        <v>3</v>
      </c>
      <c r="C3" t="str">
        <f t="shared" si="1"/>
        <v>01</v>
      </c>
      <c r="D3" t="str">
        <f t="shared" si="2"/>
        <v>B</v>
      </c>
      <c r="E3">
        <v>206</v>
      </c>
      <c r="F3">
        <v>16</v>
      </c>
      <c r="G3" s="4">
        <v>0</v>
      </c>
      <c r="H3" s="5"/>
      <c r="I3" s="5"/>
      <c r="N3">
        <v>89</v>
      </c>
    </row>
    <row r="4" spans="1:14" x14ac:dyDescent="0.25">
      <c r="A4" t="s">
        <v>6</v>
      </c>
      <c r="B4">
        <f t="shared" si="0"/>
        <v>5</v>
      </c>
      <c r="C4" t="str">
        <f t="shared" si="1"/>
        <v>01</v>
      </c>
      <c r="D4" t="str">
        <f t="shared" si="2"/>
        <v>A</v>
      </c>
      <c r="E4">
        <v>63</v>
      </c>
      <c r="F4">
        <v>234</v>
      </c>
      <c r="G4" s="4">
        <v>1</v>
      </c>
      <c r="H4" s="5"/>
      <c r="I4" s="5"/>
      <c r="N4">
        <v>11</v>
      </c>
    </row>
    <row r="5" spans="1:14" x14ac:dyDescent="0.25">
      <c r="A5" t="s">
        <v>7</v>
      </c>
      <c r="B5">
        <f t="shared" si="0"/>
        <v>5</v>
      </c>
      <c r="C5" t="str">
        <f t="shared" si="1"/>
        <v>01</v>
      </c>
      <c r="D5" t="str">
        <f t="shared" si="2"/>
        <v>A</v>
      </c>
      <c r="E5">
        <v>350</v>
      </c>
      <c r="F5">
        <v>124</v>
      </c>
      <c r="G5" s="4">
        <v>1</v>
      </c>
      <c r="H5" s="5"/>
      <c r="I5" s="5"/>
      <c r="N5">
        <v>48</v>
      </c>
    </row>
    <row r="6" spans="1:14" x14ac:dyDescent="0.25">
      <c r="A6" t="s">
        <v>8</v>
      </c>
      <c r="B6">
        <f t="shared" si="0"/>
        <v>5</v>
      </c>
      <c r="C6" t="str">
        <f t="shared" si="1"/>
        <v>01</v>
      </c>
      <c r="D6" t="str">
        <f t="shared" si="2"/>
        <v>B</v>
      </c>
      <c r="E6">
        <v>219</v>
      </c>
      <c r="F6">
        <v>0</v>
      </c>
      <c r="G6" s="4">
        <v>0</v>
      </c>
      <c r="H6" s="5"/>
      <c r="I6" s="5"/>
      <c r="N6">
        <v>71</v>
      </c>
    </row>
    <row r="7" spans="1:14" x14ac:dyDescent="0.25">
      <c r="A7" t="s">
        <v>9</v>
      </c>
      <c r="B7">
        <f t="shared" si="0"/>
        <v>6</v>
      </c>
      <c r="C7" t="str">
        <f t="shared" si="1"/>
        <v>01</v>
      </c>
      <c r="D7" t="str">
        <f t="shared" si="2"/>
        <v>A</v>
      </c>
      <c r="E7">
        <v>160</v>
      </c>
      <c r="F7">
        <v>186</v>
      </c>
      <c r="G7" s="4">
        <v>2</v>
      </c>
      <c r="H7" s="5"/>
      <c r="I7" s="5"/>
      <c r="N7">
        <v>191</v>
      </c>
    </row>
    <row r="8" spans="1:14" x14ac:dyDescent="0.25">
      <c r="A8" t="s">
        <v>248</v>
      </c>
      <c r="B8">
        <f t="shared" si="0"/>
        <v>1</v>
      </c>
      <c r="C8" t="str">
        <f t="shared" si="1"/>
        <v>02</v>
      </c>
      <c r="D8" t="str">
        <f t="shared" si="2"/>
        <v>A</v>
      </c>
      <c r="J8">
        <v>104</v>
      </c>
      <c r="K8" s="4">
        <v>2</v>
      </c>
      <c r="L8" s="5"/>
      <c r="M8" s="5"/>
    </row>
    <row r="9" spans="1:14" x14ac:dyDescent="0.25">
      <c r="A9" t="s">
        <v>249</v>
      </c>
      <c r="B9">
        <f t="shared" si="0"/>
        <v>1</v>
      </c>
      <c r="C9" t="str">
        <f t="shared" si="1"/>
        <v>02</v>
      </c>
      <c r="D9" t="str">
        <f t="shared" si="2"/>
        <v>B</v>
      </c>
      <c r="J9">
        <v>105</v>
      </c>
      <c r="K9" s="4">
        <v>2</v>
      </c>
      <c r="L9" s="5"/>
      <c r="M9" s="5"/>
    </row>
    <row r="10" spans="1:14" x14ac:dyDescent="0.25">
      <c r="A10" t="s">
        <v>250</v>
      </c>
      <c r="B10">
        <f t="shared" si="0"/>
        <v>1</v>
      </c>
      <c r="C10" t="str">
        <f t="shared" si="1"/>
        <v>02</v>
      </c>
      <c r="D10" t="str">
        <f t="shared" si="2"/>
        <v>C</v>
      </c>
      <c r="J10">
        <v>184</v>
      </c>
      <c r="K10" s="4">
        <v>2</v>
      </c>
      <c r="L10" s="5"/>
      <c r="M10" s="5"/>
    </row>
    <row r="11" spans="1:14" x14ac:dyDescent="0.25">
      <c r="A11" t="s">
        <v>87</v>
      </c>
      <c r="B11">
        <f t="shared" si="0"/>
        <v>2</v>
      </c>
      <c r="C11" t="str">
        <f t="shared" si="1"/>
        <v>02</v>
      </c>
      <c r="D11" t="str">
        <f t="shared" si="2"/>
        <v>A</v>
      </c>
      <c r="J11">
        <v>231</v>
      </c>
      <c r="K11" s="4">
        <v>2</v>
      </c>
      <c r="L11" s="5"/>
      <c r="M11" s="5"/>
      <c r="N11">
        <v>16</v>
      </c>
    </row>
    <row r="12" spans="1:14" x14ac:dyDescent="0.25">
      <c r="A12" t="s">
        <v>251</v>
      </c>
      <c r="B12">
        <f t="shared" si="0"/>
        <v>2</v>
      </c>
      <c r="C12" t="str">
        <f t="shared" si="1"/>
        <v>02</v>
      </c>
      <c r="D12" t="str">
        <f t="shared" si="2"/>
        <v>B</v>
      </c>
      <c r="J12">
        <v>131</v>
      </c>
      <c r="K12" s="4">
        <v>1</v>
      </c>
      <c r="L12" s="5"/>
      <c r="M12" s="5"/>
    </row>
    <row r="13" spans="1:14" x14ac:dyDescent="0.25">
      <c r="A13" t="s">
        <v>88</v>
      </c>
      <c r="B13">
        <f t="shared" si="0"/>
        <v>2</v>
      </c>
      <c r="C13" t="str">
        <f t="shared" si="1"/>
        <v>02</v>
      </c>
      <c r="D13" t="str">
        <f t="shared" si="2"/>
        <v>A</v>
      </c>
      <c r="J13">
        <v>0</v>
      </c>
      <c r="K13" s="4">
        <v>0</v>
      </c>
      <c r="L13" s="5"/>
      <c r="M13" s="5"/>
      <c r="N13">
        <v>140</v>
      </c>
    </row>
    <row r="14" spans="1:14" x14ac:dyDescent="0.25">
      <c r="A14" t="s">
        <v>317</v>
      </c>
      <c r="B14">
        <f t="shared" si="0"/>
        <v>2</v>
      </c>
      <c r="C14" t="str">
        <f t="shared" si="1"/>
        <v>02</v>
      </c>
      <c r="D14" t="str">
        <f t="shared" si="2"/>
        <v>B</v>
      </c>
      <c r="J14">
        <v>0</v>
      </c>
      <c r="K14" s="4">
        <v>0</v>
      </c>
      <c r="L14" s="5"/>
      <c r="M14" s="5"/>
    </row>
    <row r="15" spans="1:14" x14ac:dyDescent="0.25">
      <c r="A15" t="s">
        <v>318</v>
      </c>
      <c r="B15">
        <f t="shared" si="0"/>
        <v>3</v>
      </c>
      <c r="C15" t="str">
        <f t="shared" si="1"/>
        <v>02</v>
      </c>
      <c r="D15" t="str">
        <f t="shared" si="2"/>
        <v>A</v>
      </c>
      <c r="J15">
        <v>86</v>
      </c>
      <c r="K15" s="4">
        <v>0</v>
      </c>
      <c r="L15" s="5"/>
      <c r="M15" s="5"/>
    </row>
    <row r="16" spans="1:14" x14ac:dyDescent="0.25">
      <c r="A16" t="s">
        <v>252</v>
      </c>
      <c r="B16">
        <f t="shared" si="0"/>
        <v>3</v>
      </c>
      <c r="C16" t="str">
        <f t="shared" si="1"/>
        <v>02</v>
      </c>
      <c r="D16" t="str">
        <f t="shared" si="2"/>
        <v>B</v>
      </c>
      <c r="J16">
        <v>91</v>
      </c>
      <c r="K16" s="4">
        <v>0</v>
      </c>
      <c r="L16" s="5"/>
      <c r="M16" s="5"/>
    </row>
    <row r="17" spans="1:14" x14ac:dyDescent="0.25">
      <c r="A17" t="s">
        <v>89</v>
      </c>
      <c r="B17">
        <f t="shared" si="0"/>
        <v>3</v>
      </c>
      <c r="C17" t="str">
        <f t="shared" si="1"/>
        <v>02</v>
      </c>
      <c r="D17" t="str">
        <f t="shared" si="2"/>
        <v>A</v>
      </c>
      <c r="J17">
        <v>56</v>
      </c>
      <c r="K17" s="4">
        <v>0</v>
      </c>
      <c r="L17" s="5"/>
      <c r="M17" s="5"/>
      <c r="N17">
        <v>31</v>
      </c>
    </row>
    <row r="18" spans="1:14" x14ac:dyDescent="0.25">
      <c r="A18" t="s">
        <v>319</v>
      </c>
      <c r="B18">
        <f t="shared" si="0"/>
        <v>3</v>
      </c>
      <c r="C18" t="str">
        <f t="shared" si="1"/>
        <v>02</v>
      </c>
      <c r="D18" t="str">
        <f t="shared" si="2"/>
        <v>B</v>
      </c>
      <c r="J18">
        <v>54</v>
      </c>
      <c r="K18" s="4">
        <v>0</v>
      </c>
      <c r="L18" s="5"/>
      <c r="M18" s="5"/>
    </row>
    <row r="19" spans="1:14" x14ac:dyDescent="0.25">
      <c r="A19" t="s">
        <v>253</v>
      </c>
      <c r="B19">
        <f t="shared" si="0"/>
        <v>5</v>
      </c>
      <c r="C19" t="str">
        <f t="shared" si="1"/>
        <v>02</v>
      </c>
      <c r="D19" t="str">
        <f t="shared" si="2"/>
        <v>A</v>
      </c>
      <c r="J19">
        <v>221</v>
      </c>
      <c r="K19" s="4">
        <v>1</v>
      </c>
      <c r="L19" s="5"/>
      <c r="M19" s="5"/>
    </row>
    <row r="20" spans="1:14" x14ac:dyDescent="0.25">
      <c r="A20" t="s">
        <v>254</v>
      </c>
      <c r="B20">
        <f t="shared" si="0"/>
        <v>5</v>
      </c>
      <c r="C20" t="str">
        <f t="shared" si="1"/>
        <v>02</v>
      </c>
      <c r="D20" t="str">
        <f t="shared" si="2"/>
        <v>B</v>
      </c>
      <c r="J20">
        <v>44</v>
      </c>
      <c r="K20" s="4">
        <v>1</v>
      </c>
      <c r="L20" s="5"/>
      <c r="M20" s="5"/>
    </row>
    <row r="21" spans="1:14" x14ac:dyDescent="0.25">
      <c r="A21" t="s">
        <v>255</v>
      </c>
      <c r="B21">
        <f t="shared" si="0"/>
        <v>5</v>
      </c>
      <c r="C21" t="str">
        <f t="shared" si="1"/>
        <v>02</v>
      </c>
      <c r="D21" t="str">
        <f t="shared" si="2"/>
        <v>C</v>
      </c>
      <c r="J21">
        <v>41</v>
      </c>
      <c r="K21" s="4">
        <v>0</v>
      </c>
      <c r="L21" s="5"/>
      <c r="M21" s="5"/>
    </row>
    <row r="22" spans="1:14" x14ac:dyDescent="0.25">
      <c r="A22" t="s">
        <v>256</v>
      </c>
      <c r="B22">
        <f t="shared" si="0"/>
        <v>5</v>
      </c>
      <c r="C22" t="str">
        <f t="shared" si="1"/>
        <v>02</v>
      </c>
      <c r="D22" t="str">
        <f t="shared" si="2"/>
        <v>D</v>
      </c>
      <c r="J22">
        <v>342</v>
      </c>
      <c r="K22" s="4">
        <v>1</v>
      </c>
      <c r="L22" s="5"/>
      <c r="M22" s="5"/>
    </row>
    <row r="23" spans="1:14" x14ac:dyDescent="0.25">
      <c r="A23" t="s">
        <v>90</v>
      </c>
      <c r="B23">
        <f t="shared" si="0"/>
        <v>5</v>
      </c>
      <c r="C23" t="str">
        <f t="shared" si="1"/>
        <v>02</v>
      </c>
      <c r="D23" t="str">
        <f t="shared" si="2"/>
        <v>A</v>
      </c>
      <c r="J23">
        <v>0</v>
      </c>
      <c r="K23" s="4">
        <v>0</v>
      </c>
      <c r="L23" s="5"/>
      <c r="M23" s="5"/>
      <c r="N23">
        <v>600</v>
      </c>
    </row>
    <row r="24" spans="1:14" x14ac:dyDescent="0.25">
      <c r="A24" t="s">
        <v>320</v>
      </c>
      <c r="B24">
        <f t="shared" si="0"/>
        <v>5</v>
      </c>
      <c r="C24" t="str">
        <f t="shared" si="1"/>
        <v>02</v>
      </c>
      <c r="D24" t="str">
        <f t="shared" si="2"/>
        <v>B</v>
      </c>
      <c r="J24">
        <v>0</v>
      </c>
      <c r="K24" s="4">
        <v>1</v>
      </c>
      <c r="L24" s="5"/>
      <c r="M24" s="5"/>
    </row>
    <row r="25" spans="1:14" x14ac:dyDescent="0.25">
      <c r="A25" t="s">
        <v>91</v>
      </c>
      <c r="B25">
        <f t="shared" si="0"/>
        <v>8</v>
      </c>
      <c r="C25" t="str">
        <f t="shared" si="1"/>
        <v>02</v>
      </c>
      <c r="D25" t="str">
        <f t="shared" si="2"/>
        <v>A</v>
      </c>
      <c r="J25">
        <v>0</v>
      </c>
      <c r="K25" s="4">
        <v>0</v>
      </c>
      <c r="L25" s="5"/>
      <c r="M25" s="5"/>
      <c r="N25">
        <v>996</v>
      </c>
    </row>
    <row r="26" spans="1:14" x14ac:dyDescent="0.25">
      <c r="A26" t="s">
        <v>321</v>
      </c>
      <c r="B26">
        <f t="shared" si="0"/>
        <v>8</v>
      </c>
      <c r="C26" t="str">
        <f t="shared" si="1"/>
        <v>02</v>
      </c>
      <c r="D26" t="str">
        <f t="shared" si="2"/>
        <v>B</v>
      </c>
      <c r="J26">
        <v>0</v>
      </c>
      <c r="K26" s="4">
        <v>0</v>
      </c>
      <c r="L26" s="5"/>
      <c r="M26" s="5"/>
    </row>
    <row r="27" spans="1:14" x14ac:dyDescent="0.25">
      <c r="A27" t="s">
        <v>92</v>
      </c>
      <c r="B27">
        <f t="shared" si="0"/>
        <v>8</v>
      </c>
      <c r="C27" t="str">
        <f t="shared" si="1"/>
        <v>02</v>
      </c>
      <c r="D27" t="str">
        <f t="shared" si="2"/>
        <v>A</v>
      </c>
      <c r="J27">
        <v>192</v>
      </c>
      <c r="K27" s="4">
        <v>1</v>
      </c>
      <c r="L27" s="5"/>
      <c r="M27" s="5"/>
      <c r="N27">
        <v>145</v>
      </c>
    </row>
    <row r="28" spans="1:14" x14ac:dyDescent="0.25">
      <c r="A28" t="s">
        <v>257</v>
      </c>
      <c r="B28">
        <f t="shared" si="0"/>
        <v>8</v>
      </c>
      <c r="C28" t="str">
        <f t="shared" si="1"/>
        <v>02</v>
      </c>
      <c r="D28" t="str">
        <f t="shared" si="2"/>
        <v>B</v>
      </c>
      <c r="J28">
        <v>99</v>
      </c>
      <c r="K28" s="4">
        <v>1</v>
      </c>
      <c r="L28" s="5"/>
      <c r="M28" s="5"/>
    </row>
    <row r="29" spans="1:14" x14ac:dyDescent="0.25">
      <c r="A29" t="s">
        <v>93</v>
      </c>
      <c r="B29">
        <f t="shared" si="0"/>
        <v>10</v>
      </c>
      <c r="C29" t="str">
        <f t="shared" si="1"/>
        <v>02</v>
      </c>
      <c r="D29" t="str">
        <f t="shared" si="2"/>
        <v>A</v>
      </c>
      <c r="J29">
        <v>0</v>
      </c>
      <c r="K29" s="4">
        <v>0</v>
      </c>
      <c r="L29" s="5"/>
      <c r="M29" s="5"/>
      <c r="N29">
        <v>175</v>
      </c>
    </row>
    <row r="30" spans="1:14" x14ac:dyDescent="0.25">
      <c r="A30" t="s">
        <v>322</v>
      </c>
      <c r="B30">
        <f t="shared" si="0"/>
        <v>10</v>
      </c>
      <c r="C30" t="str">
        <f t="shared" si="1"/>
        <v>02</v>
      </c>
      <c r="D30" t="str">
        <f t="shared" si="2"/>
        <v>B</v>
      </c>
      <c r="J30">
        <v>0</v>
      </c>
      <c r="K30" s="4">
        <v>0</v>
      </c>
      <c r="L30" s="5"/>
      <c r="M30" s="5"/>
    </row>
    <row r="31" spans="1:14" x14ac:dyDescent="0.25">
      <c r="A31" t="s">
        <v>94</v>
      </c>
      <c r="B31">
        <f t="shared" si="0"/>
        <v>11</v>
      </c>
      <c r="C31" t="str">
        <f t="shared" si="1"/>
        <v>02</v>
      </c>
      <c r="D31" t="str">
        <f t="shared" si="2"/>
        <v>A</v>
      </c>
      <c r="J31">
        <v>142</v>
      </c>
      <c r="K31" s="4">
        <v>1</v>
      </c>
      <c r="L31" s="5"/>
      <c r="M31" s="5"/>
      <c r="N31">
        <v>89</v>
      </c>
    </row>
    <row r="32" spans="1:14" x14ac:dyDescent="0.25">
      <c r="A32" t="s">
        <v>323</v>
      </c>
      <c r="B32">
        <f t="shared" si="0"/>
        <v>11</v>
      </c>
      <c r="C32" t="str">
        <f t="shared" si="1"/>
        <v>02</v>
      </c>
      <c r="D32" t="str">
        <f t="shared" si="2"/>
        <v>B</v>
      </c>
      <c r="J32">
        <v>39</v>
      </c>
      <c r="K32" s="4">
        <v>1</v>
      </c>
      <c r="L32" s="5"/>
      <c r="M32" s="5"/>
    </row>
    <row r="33" spans="1:14" x14ac:dyDescent="0.25">
      <c r="A33" t="s">
        <v>95</v>
      </c>
      <c r="B33">
        <f t="shared" si="0"/>
        <v>14</v>
      </c>
      <c r="C33" t="str">
        <f t="shared" si="1"/>
        <v>02</v>
      </c>
      <c r="D33" t="str">
        <f t="shared" si="2"/>
        <v>A</v>
      </c>
      <c r="J33">
        <v>17</v>
      </c>
      <c r="K33" s="4">
        <v>0</v>
      </c>
      <c r="L33" s="5"/>
      <c r="M33" s="5"/>
      <c r="N33">
        <v>61</v>
      </c>
    </row>
    <row r="34" spans="1:14" x14ac:dyDescent="0.25">
      <c r="A34" t="s">
        <v>324</v>
      </c>
      <c r="B34">
        <f t="shared" si="0"/>
        <v>14</v>
      </c>
      <c r="C34" t="str">
        <f t="shared" si="1"/>
        <v>02</v>
      </c>
      <c r="D34" t="str">
        <f t="shared" si="2"/>
        <v>B</v>
      </c>
      <c r="J34">
        <v>42</v>
      </c>
      <c r="K34" s="4">
        <v>0</v>
      </c>
      <c r="L34" s="5"/>
      <c r="M34" s="5"/>
    </row>
    <row r="35" spans="1:14" x14ac:dyDescent="0.25">
      <c r="A35" t="s">
        <v>96</v>
      </c>
      <c r="B35">
        <f t="shared" si="0"/>
        <v>14</v>
      </c>
      <c r="C35" t="str">
        <f t="shared" si="1"/>
        <v>02</v>
      </c>
      <c r="D35" t="str">
        <f t="shared" si="2"/>
        <v>A</v>
      </c>
      <c r="J35">
        <v>182</v>
      </c>
      <c r="K35" s="4">
        <v>2</v>
      </c>
      <c r="L35" s="5"/>
      <c r="M35" s="5"/>
      <c r="N35">
        <v>226</v>
      </c>
    </row>
    <row r="36" spans="1:14" x14ac:dyDescent="0.25">
      <c r="A36" t="s">
        <v>258</v>
      </c>
      <c r="B36">
        <f t="shared" si="0"/>
        <v>14</v>
      </c>
      <c r="C36" t="str">
        <f t="shared" si="1"/>
        <v>02</v>
      </c>
      <c r="D36" t="str">
        <f t="shared" si="2"/>
        <v>B</v>
      </c>
      <c r="J36">
        <v>204</v>
      </c>
      <c r="K36" s="4">
        <v>2</v>
      </c>
      <c r="L36" s="5"/>
      <c r="M36" s="5"/>
    </row>
    <row r="37" spans="1:14" x14ac:dyDescent="0.25">
      <c r="A37" t="s">
        <v>97</v>
      </c>
      <c r="B37">
        <f t="shared" si="0"/>
        <v>17</v>
      </c>
      <c r="C37" t="str">
        <f t="shared" si="1"/>
        <v>02</v>
      </c>
      <c r="D37" t="str">
        <f t="shared" si="2"/>
        <v>A</v>
      </c>
      <c r="J37">
        <v>209</v>
      </c>
      <c r="K37" s="4">
        <v>2</v>
      </c>
      <c r="L37" s="5"/>
      <c r="M37" s="5"/>
      <c r="N37">
        <v>38</v>
      </c>
    </row>
    <row r="38" spans="1:14" x14ac:dyDescent="0.25">
      <c r="A38" t="s">
        <v>259</v>
      </c>
      <c r="B38">
        <f t="shared" si="0"/>
        <v>17</v>
      </c>
      <c r="C38" t="str">
        <f t="shared" si="1"/>
        <v>02</v>
      </c>
      <c r="D38" t="str">
        <f t="shared" si="2"/>
        <v>B</v>
      </c>
      <c r="J38">
        <v>332</v>
      </c>
      <c r="K38" s="4">
        <v>2</v>
      </c>
      <c r="L38" s="5"/>
      <c r="M38" s="5"/>
    </row>
    <row r="39" spans="1:14" x14ac:dyDescent="0.25">
      <c r="A39" t="s">
        <v>98</v>
      </c>
      <c r="B39">
        <f t="shared" si="0"/>
        <v>17</v>
      </c>
      <c r="C39" t="str">
        <f t="shared" si="1"/>
        <v>02</v>
      </c>
      <c r="D39" t="str">
        <f t="shared" si="2"/>
        <v>A</v>
      </c>
      <c r="J39">
        <v>159</v>
      </c>
      <c r="K39" s="4">
        <v>2</v>
      </c>
      <c r="L39" s="5"/>
      <c r="M39" s="5"/>
      <c r="N39">
        <v>112</v>
      </c>
    </row>
    <row r="40" spans="1:14" x14ac:dyDescent="0.25">
      <c r="A40" t="s">
        <v>260</v>
      </c>
      <c r="B40">
        <f t="shared" si="0"/>
        <v>17</v>
      </c>
      <c r="C40" t="str">
        <f t="shared" si="1"/>
        <v>02</v>
      </c>
      <c r="D40" t="str">
        <f t="shared" si="2"/>
        <v>B</v>
      </c>
      <c r="J40">
        <v>113</v>
      </c>
      <c r="K40" s="4">
        <v>1</v>
      </c>
      <c r="L40" s="5"/>
      <c r="M40" s="5"/>
    </row>
    <row r="41" spans="1:14" x14ac:dyDescent="0.25">
      <c r="A41" t="s">
        <v>99</v>
      </c>
      <c r="B41">
        <f t="shared" si="0"/>
        <v>21</v>
      </c>
      <c r="C41" t="str">
        <f t="shared" si="1"/>
        <v>02</v>
      </c>
      <c r="D41" t="str">
        <f t="shared" si="2"/>
        <v>A</v>
      </c>
      <c r="J41">
        <v>172</v>
      </c>
      <c r="K41" s="4">
        <v>2</v>
      </c>
      <c r="L41" s="5"/>
      <c r="M41" s="5"/>
      <c r="N41">
        <v>237</v>
      </c>
    </row>
    <row r="42" spans="1:14" x14ac:dyDescent="0.25">
      <c r="A42" t="s">
        <v>261</v>
      </c>
      <c r="B42">
        <f t="shared" si="0"/>
        <v>21</v>
      </c>
      <c r="C42" t="str">
        <f t="shared" si="1"/>
        <v>02</v>
      </c>
      <c r="D42" t="str">
        <f t="shared" si="2"/>
        <v>B</v>
      </c>
      <c r="J42">
        <v>135</v>
      </c>
      <c r="K42" s="4">
        <v>2</v>
      </c>
      <c r="L42" s="5"/>
      <c r="M42" s="5"/>
    </row>
    <row r="43" spans="1:14" x14ac:dyDescent="0.25">
      <c r="A43" t="s">
        <v>100</v>
      </c>
      <c r="B43">
        <f t="shared" si="0"/>
        <v>24</v>
      </c>
      <c r="C43" t="str">
        <f t="shared" si="1"/>
        <v>02</v>
      </c>
      <c r="D43" t="str">
        <f t="shared" si="2"/>
        <v>A</v>
      </c>
      <c r="J43">
        <v>239</v>
      </c>
      <c r="K43" s="4">
        <v>2</v>
      </c>
      <c r="L43" s="5"/>
      <c r="M43" s="5"/>
      <c r="N43">
        <v>124</v>
      </c>
    </row>
    <row r="44" spans="1:14" x14ac:dyDescent="0.25">
      <c r="A44" t="s">
        <v>262</v>
      </c>
      <c r="B44">
        <f t="shared" si="0"/>
        <v>24</v>
      </c>
      <c r="C44" t="str">
        <f t="shared" si="1"/>
        <v>02</v>
      </c>
      <c r="D44" t="str">
        <f t="shared" si="2"/>
        <v>B</v>
      </c>
      <c r="J44">
        <v>295</v>
      </c>
      <c r="K44" s="4">
        <v>2</v>
      </c>
      <c r="L44" s="5"/>
      <c r="M44" s="5"/>
    </row>
    <row r="45" spans="1:14" x14ac:dyDescent="0.25">
      <c r="A45" t="s">
        <v>11</v>
      </c>
      <c r="B45">
        <f t="shared" si="0"/>
        <v>1</v>
      </c>
      <c r="C45" t="str">
        <f t="shared" si="1"/>
        <v>03</v>
      </c>
      <c r="D45" t="str">
        <f t="shared" si="2"/>
        <v>A</v>
      </c>
      <c r="E45">
        <v>43</v>
      </c>
      <c r="F45">
        <v>31</v>
      </c>
      <c r="G45" s="4">
        <v>0</v>
      </c>
      <c r="H45" s="5"/>
      <c r="I45" s="5"/>
    </row>
    <row r="46" spans="1:14" x14ac:dyDescent="0.25">
      <c r="A46" t="s">
        <v>10</v>
      </c>
      <c r="B46">
        <f t="shared" si="0"/>
        <v>2</v>
      </c>
      <c r="C46" t="str">
        <f t="shared" si="1"/>
        <v>03</v>
      </c>
      <c r="D46" t="str">
        <f t="shared" si="2"/>
        <v>A</v>
      </c>
      <c r="E46">
        <v>408</v>
      </c>
      <c r="F46">
        <v>333</v>
      </c>
      <c r="G46" s="4">
        <v>1</v>
      </c>
      <c r="H46" s="5"/>
      <c r="I46" s="5"/>
      <c r="N46">
        <v>80</v>
      </c>
    </row>
    <row r="47" spans="1:14" x14ac:dyDescent="0.25">
      <c r="A47" t="s">
        <v>12</v>
      </c>
      <c r="B47">
        <f t="shared" si="0"/>
        <v>2</v>
      </c>
      <c r="C47" t="str">
        <f t="shared" si="1"/>
        <v>03</v>
      </c>
      <c r="D47" t="str">
        <f t="shared" si="2"/>
        <v>A</v>
      </c>
      <c r="E47">
        <v>85</v>
      </c>
      <c r="F47">
        <v>77</v>
      </c>
      <c r="G47" s="4">
        <v>2</v>
      </c>
      <c r="H47" s="5"/>
      <c r="I47" s="5"/>
      <c r="J47">
        <v>0</v>
      </c>
      <c r="K47">
        <v>2</v>
      </c>
      <c r="N47">
        <v>9</v>
      </c>
    </row>
    <row r="48" spans="1:14" x14ac:dyDescent="0.25">
      <c r="A48" t="s">
        <v>13</v>
      </c>
      <c r="B48">
        <f t="shared" si="0"/>
        <v>2</v>
      </c>
      <c r="C48" t="str">
        <f t="shared" si="1"/>
        <v>03</v>
      </c>
      <c r="D48" t="str">
        <f t="shared" si="2"/>
        <v>B</v>
      </c>
      <c r="E48">
        <v>5</v>
      </c>
      <c r="F48">
        <v>10</v>
      </c>
      <c r="G48" s="4">
        <v>1</v>
      </c>
      <c r="H48" s="5"/>
      <c r="I48" s="5"/>
      <c r="J48">
        <v>0</v>
      </c>
      <c r="K48">
        <v>2</v>
      </c>
    </row>
    <row r="49" spans="1:14" x14ac:dyDescent="0.25">
      <c r="A49" t="s">
        <v>14</v>
      </c>
      <c r="B49">
        <f t="shared" si="0"/>
        <v>3</v>
      </c>
      <c r="C49" t="str">
        <f t="shared" si="1"/>
        <v>03</v>
      </c>
      <c r="D49" t="str">
        <f t="shared" si="2"/>
        <v>A</v>
      </c>
      <c r="E49">
        <v>326</v>
      </c>
      <c r="F49">
        <v>0</v>
      </c>
      <c r="G49" s="4">
        <v>0</v>
      </c>
      <c r="H49" s="5"/>
      <c r="I49" s="5"/>
      <c r="N49">
        <v>24</v>
      </c>
    </row>
    <row r="50" spans="1:14" x14ac:dyDescent="0.25">
      <c r="A50" t="s">
        <v>15</v>
      </c>
      <c r="B50">
        <f t="shared" si="0"/>
        <v>3</v>
      </c>
      <c r="C50" t="str">
        <f t="shared" si="1"/>
        <v>03</v>
      </c>
      <c r="D50" t="str">
        <f t="shared" si="2"/>
        <v>A</v>
      </c>
      <c r="E50">
        <v>55</v>
      </c>
      <c r="F50">
        <v>44</v>
      </c>
      <c r="G50" s="4">
        <v>0</v>
      </c>
      <c r="H50" s="5"/>
      <c r="I50" s="5"/>
      <c r="J50">
        <v>0</v>
      </c>
      <c r="K50">
        <v>2</v>
      </c>
      <c r="N50">
        <v>75</v>
      </c>
    </row>
    <row r="51" spans="1:14" x14ac:dyDescent="0.25">
      <c r="A51" t="s">
        <v>16</v>
      </c>
      <c r="B51">
        <f t="shared" si="0"/>
        <v>3</v>
      </c>
      <c r="C51" t="str">
        <f t="shared" si="1"/>
        <v>03</v>
      </c>
      <c r="D51" t="str">
        <f t="shared" si="2"/>
        <v>B</v>
      </c>
      <c r="E51">
        <v>98</v>
      </c>
      <c r="F51">
        <v>106</v>
      </c>
      <c r="G51" s="4">
        <v>1</v>
      </c>
      <c r="H51" s="5"/>
      <c r="I51" s="5"/>
      <c r="J51">
        <v>0</v>
      </c>
      <c r="K51">
        <v>0</v>
      </c>
    </row>
    <row r="52" spans="1:14" x14ac:dyDescent="0.25">
      <c r="A52" t="s">
        <v>17</v>
      </c>
      <c r="B52">
        <f t="shared" si="0"/>
        <v>4</v>
      </c>
      <c r="C52" t="str">
        <f t="shared" si="1"/>
        <v>03</v>
      </c>
      <c r="D52" t="str">
        <f t="shared" si="2"/>
        <v>A</v>
      </c>
      <c r="E52">
        <v>246</v>
      </c>
      <c r="F52">
        <v>386</v>
      </c>
      <c r="G52" s="4">
        <v>2</v>
      </c>
      <c r="H52" s="5"/>
      <c r="I52" s="5"/>
    </row>
    <row r="53" spans="1:14" x14ac:dyDescent="0.25">
      <c r="A53" t="s">
        <v>18</v>
      </c>
      <c r="B53">
        <f t="shared" si="0"/>
        <v>5</v>
      </c>
      <c r="C53" t="str">
        <f t="shared" si="1"/>
        <v>03</v>
      </c>
      <c r="D53" t="str">
        <f t="shared" si="2"/>
        <v>A</v>
      </c>
      <c r="E53">
        <v>312</v>
      </c>
      <c r="F53">
        <v>1</v>
      </c>
      <c r="G53" s="4">
        <v>0</v>
      </c>
      <c r="H53" s="5"/>
      <c r="I53" s="5"/>
      <c r="N53">
        <v>312</v>
      </c>
    </row>
    <row r="54" spans="1:14" x14ac:dyDescent="0.25">
      <c r="A54" t="s">
        <v>19</v>
      </c>
      <c r="B54">
        <f t="shared" si="0"/>
        <v>5</v>
      </c>
      <c r="C54" t="str">
        <f t="shared" si="1"/>
        <v>03</v>
      </c>
      <c r="D54" t="str">
        <f t="shared" si="2"/>
        <v>A</v>
      </c>
      <c r="E54">
        <v>190</v>
      </c>
      <c r="F54">
        <v>177</v>
      </c>
      <c r="G54" s="4">
        <v>1</v>
      </c>
      <c r="H54" s="5"/>
      <c r="I54" s="5"/>
      <c r="J54">
        <v>0</v>
      </c>
      <c r="K54">
        <v>1</v>
      </c>
      <c r="N54">
        <v>779</v>
      </c>
    </row>
    <row r="55" spans="1:14" x14ac:dyDescent="0.25">
      <c r="A55" t="s">
        <v>20</v>
      </c>
      <c r="B55">
        <f t="shared" si="0"/>
        <v>5</v>
      </c>
      <c r="C55" t="str">
        <f t="shared" si="1"/>
        <v>03</v>
      </c>
      <c r="D55" t="str">
        <f t="shared" si="2"/>
        <v>B</v>
      </c>
      <c r="E55">
        <v>230</v>
      </c>
      <c r="F55">
        <v>63</v>
      </c>
      <c r="G55" s="4">
        <v>1</v>
      </c>
      <c r="H55" s="5"/>
      <c r="I55" s="5"/>
      <c r="J55">
        <v>0</v>
      </c>
      <c r="K55">
        <v>0</v>
      </c>
    </row>
    <row r="56" spans="1:14" x14ac:dyDescent="0.25">
      <c r="A56" t="s">
        <v>101</v>
      </c>
      <c r="B56">
        <f t="shared" si="0"/>
        <v>7</v>
      </c>
      <c r="C56" t="str">
        <f t="shared" si="1"/>
        <v>03</v>
      </c>
      <c r="D56" t="str">
        <f t="shared" si="2"/>
        <v>A</v>
      </c>
      <c r="J56">
        <v>68</v>
      </c>
      <c r="K56" s="4">
        <v>0</v>
      </c>
      <c r="L56" s="5"/>
      <c r="M56" s="5"/>
      <c r="N56">
        <v>590</v>
      </c>
    </row>
    <row r="57" spans="1:14" x14ac:dyDescent="0.25">
      <c r="A57" t="s">
        <v>325</v>
      </c>
      <c r="B57">
        <f t="shared" si="0"/>
        <v>7</v>
      </c>
      <c r="C57" t="str">
        <f t="shared" si="1"/>
        <v>03</v>
      </c>
      <c r="D57" t="str">
        <f t="shared" si="2"/>
        <v>B</v>
      </c>
      <c r="J57">
        <v>69</v>
      </c>
      <c r="K57" s="4">
        <v>0</v>
      </c>
      <c r="L57" s="5"/>
      <c r="M57" s="5"/>
    </row>
    <row r="58" spans="1:14" x14ac:dyDescent="0.25">
      <c r="A58" t="s">
        <v>21</v>
      </c>
      <c r="B58">
        <f t="shared" si="0"/>
        <v>8</v>
      </c>
      <c r="C58" t="str">
        <f t="shared" si="1"/>
        <v>03</v>
      </c>
      <c r="D58" t="str">
        <f t="shared" si="2"/>
        <v>A</v>
      </c>
      <c r="E58">
        <v>194</v>
      </c>
      <c r="F58">
        <v>0</v>
      </c>
      <c r="G58" s="4">
        <v>0</v>
      </c>
      <c r="H58" s="5"/>
      <c r="I58" s="5"/>
      <c r="N58">
        <v>234</v>
      </c>
    </row>
    <row r="59" spans="1:14" x14ac:dyDescent="0.25">
      <c r="A59" t="s">
        <v>22</v>
      </c>
      <c r="B59">
        <f t="shared" si="0"/>
        <v>8</v>
      </c>
      <c r="C59" t="str">
        <f t="shared" si="1"/>
        <v>03</v>
      </c>
      <c r="D59" t="str">
        <f t="shared" si="2"/>
        <v>B</v>
      </c>
      <c r="E59">
        <v>170</v>
      </c>
      <c r="F59">
        <v>0</v>
      </c>
      <c r="G59" s="4">
        <v>0</v>
      </c>
      <c r="H59" s="5"/>
      <c r="I59" s="5"/>
      <c r="N59">
        <v>405</v>
      </c>
    </row>
    <row r="60" spans="1:14" x14ac:dyDescent="0.25">
      <c r="A60" t="s">
        <v>23</v>
      </c>
      <c r="B60">
        <f t="shared" si="0"/>
        <v>8</v>
      </c>
      <c r="C60" t="str">
        <f t="shared" si="1"/>
        <v>03</v>
      </c>
      <c r="D60" t="str">
        <f t="shared" si="2"/>
        <v>A</v>
      </c>
      <c r="E60">
        <v>128</v>
      </c>
      <c r="F60">
        <v>237</v>
      </c>
      <c r="G60" s="4">
        <v>1</v>
      </c>
      <c r="H60" s="5"/>
      <c r="I60" s="5"/>
    </row>
    <row r="61" spans="1:14" x14ac:dyDescent="0.25">
      <c r="A61" t="s">
        <v>24</v>
      </c>
      <c r="B61">
        <f t="shared" si="0"/>
        <v>11</v>
      </c>
      <c r="C61" t="str">
        <f t="shared" si="1"/>
        <v>03</v>
      </c>
      <c r="D61" t="str">
        <f t="shared" si="2"/>
        <v>A</v>
      </c>
      <c r="E61">
        <v>684</v>
      </c>
      <c r="F61">
        <v>575</v>
      </c>
      <c r="G61" s="4">
        <v>1</v>
      </c>
      <c r="H61" s="5"/>
      <c r="I61" s="5"/>
      <c r="N61">
        <v>313</v>
      </c>
    </row>
    <row r="62" spans="1:14" x14ac:dyDescent="0.25">
      <c r="A62" t="s">
        <v>25</v>
      </c>
      <c r="B62">
        <f t="shared" si="0"/>
        <v>11</v>
      </c>
      <c r="C62" t="str">
        <f t="shared" si="1"/>
        <v>03</v>
      </c>
      <c r="D62" t="str">
        <f t="shared" si="2"/>
        <v>A</v>
      </c>
      <c r="E62">
        <v>295</v>
      </c>
      <c r="F62">
        <v>526</v>
      </c>
      <c r="G62" s="4">
        <v>2</v>
      </c>
      <c r="H62" s="5"/>
      <c r="I62" s="5"/>
      <c r="J62">
        <v>217</v>
      </c>
      <c r="K62">
        <v>0</v>
      </c>
      <c r="N62">
        <v>211</v>
      </c>
    </row>
    <row r="63" spans="1:14" x14ac:dyDescent="0.25">
      <c r="A63" t="s">
        <v>26</v>
      </c>
      <c r="B63">
        <f t="shared" si="0"/>
        <v>11</v>
      </c>
      <c r="C63" t="str">
        <f t="shared" si="1"/>
        <v>03</v>
      </c>
      <c r="D63" t="str">
        <f t="shared" si="2"/>
        <v>B</v>
      </c>
      <c r="E63">
        <v>312</v>
      </c>
      <c r="F63">
        <v>525</v>
      </c>
      <c r="G63" s="4">
        <v>1</v>
      </c>
      <c r="H63" s="5"/>
      <c r="I63" s="5"/>
      <c r="J63">
        <v>234</v>
      </c>
      <c r="K63">
        <v>0</v>
      </c>
    </row>
    <row r="64" spans="1:14" x14ac:dyDescent="0.25">
      <c r="A64" t="s">
        <v>27</v>
      </c>
      <c r="B64">
        <f t="shared" si="0"/>
        <v>14</v>
      </c>
      <c r="C64" t="str">
        <f t="shared" si="1"/>
        <v>03</v>
      </c>
      <c r="D64" t="str">
        <f t="shared" si="2"/>
        <v>A</v>
      </c>
      <c r="E64">
        <v>244</v>
      </c>
      <c r="F64">
        <v>394</v>
      </c>
      <c r="G64" s="4">
        <v>2</v>
      </c>
      <c r="H64" s="5"/>
      <c r="I64" s="5"/>
      <c r="N64">
        <v>193</v>
      </c>
    </row>
    <row r="65" spans="1:14" x14ac:dyDescent="0.25">
      <c r="A65" t="s">
        <v>28</v>
      </c>
      <c r="B65">
        <f t="shared" si="0"/>
        <v>14</v>
      </c>
      <c r="C65" t="str">
        <f t="shared" si="1"/>
        <v>03</v>
      </c>
      <c r="D65" t="str">
        <f t="shared" si="2"/>
        <v>A</v>
      </c>
      <c r="E65">
        <v>336</v>
      </c>
      <c r="F65">
        <v>144</v>
      </c>
      <c r="G65" s="4">
        <v>1</v>
      </c>
      <c r="H65" s="5"/>
      <c r="I65" s="5"/>
      <c r="J65">
        <v>221</v>
      </c>
      <c r="K65">
        <v>0</v>
      </c>
    </row>
    <row r="66" spans="1:14" x14ac:dyDescent="0.25">
      <c r="A66" t="s">
        <v>29</v>
      </c>
      <c r="B66">
        <f t="shared" ref="B66:B129" si="3">MID(A66,4,2)+0</f>
        <v>14</v>
      </c>
      <c r="C66" t="str">
        <f t="shared" ref="C66:C129" si="4">LEFT(A66,2)</f>
        <v>03</v>
      </c>
      <c r="D66" t="str">
        <f t="shared" ref="D66:D129" si="5">RIGHT(A66)</f>
        <v>B</v>
      </c>
      <c r="E66">
        <v>171</v>
      </c>
      <c r="F66">
        <v>356</v>
      </c>
      <c r="G66" s="4">
        <v>1</v>
      </c>
      <c r="H66" s="5"/>
      <c r="I66" s="5"/>
      <c r="J66">
        <v>119</v>
      </c>
      <c r="K66">
        <v>0</v>
      </c>
      <c r="N66">
        <v>127</v>
      </c>
    </row>
    <row r="67" spans="1:14" x14ac:dyDescent="0.25">
      <c r="A67" t="s">
        <v>30</v>
      </c>
      <c r="B67">
        <f t="shared" si="3"/>
        <v>17</v>
      </c>
      <c r="C67" t="str">
        <f t="shared" si="4"/>
        <v>03</v>
      </c>
      <c r="D67" t="str">
        <f t="shared" si="5"/>
        <v>A</v>
      </c>
      <c r="E67">
        <v>1481</v>
      </c>
      <c r="F67">
        <v>642</v>
      </c>
      <c r="G67" s="4">
        <v>1</v>
      </c>
      <c r="H67" s="5"/>
      <c r="I67" s="5"/>
      <c r="N67">
        <v>377</v>
      </c>
    </row>
    <row r="68" spans="1:14" x14ac:dyDescent="0.25">
      <c r="A68" t="s">
        <v>263</v>
      </c>
      <c r="B68">
        <f t="shared" si="3"/>
        <v>17</v>
      </c>
      <c r="C68" t="str">
        <f t="shared" si="4"/>
        <v>03</v>
      </c>
      <c r="D68" t="str">
        <f t="shared" si="5"/>
        <v>A</v>
      </c>
      <c r="J68">
        <v>771</v>
      </c>
      <c r="K68" s="4">
        <v>2</v>
      </c>
      <c r="L68" s="5"/>
      <c r="M68" s="5"/>
    </row>
    <row r="69" spans="1:14" x14ac:dyDescent="0.25">
      <c r="A69" t="s">
        <v>102</v>
      </c>
      <c r="B69">
        <f t="shared" si="3"/>
        <v>18</v>
      </c>
      <c r="C69" t="str">
        <f t="shared" si="4"/>
        <v>03</v>
      </c>
      <c r="D69" t="str">
        <f t="shared" si="5"/>
        <v>A</v>
      </c>
      <c r="J69">
        <v>281</v>
      </c>
      <c r="K69" s="4">
        <v>2</v>
      </c>
      <c r="L69" s="5"/>
      <c r="M69" s="5"/>
      <c r="N69">
        <v>238</v>
      </c>
    </row>
    <row r="70" spans="1:14" x14ac:dyDescent="0.25">
      <c r="A70" t="s">
        <v>264</v>
      </c>
      <c r="B70">
        <f t="shared" si="3"/>
        <v>18</v>
      </c>
      <c r="C70" t="str">
        <f t="shared" si="4"/>
        <v>03</v>
      </c>
      <c r="D70" t="str">
        <f t="shared" si="5"/>
        <v>B</v>
      </c>
      <c r="J70">
        <v>258</v>
      </c>
      <c r="K70" s="4">
        <v>2</v>
      </c>
      <c r="L70" s="5"/>
      <c r="M70" s="5"/>
    </row>
    <row r="71" spans="1:14" x14ac:dyDescent="0.25">
      <c r="A71" t="s">
        <v>103</v>
      </c>
      <c r="B71">
        <f t="shared" si="3"/>
        <v>24</v>
      </c>
      <c r="C71" t="str">
        <f t="shared" si="4"/>
        <v>03</v>
      </c>
      <c r="D71" t="str">
        <f t="shared" si="5"/>
        <v>A</v>
      </c>
      <c r="J71">
        <v>308</v>
      </c>
      <c r="K71" s="4">
        <v>2</v>
      </c>
      <c r="L71" s="5"/>
      <c r="M71" s="5"/>
      <c r="N71">
        <v>281</v>
      </c>
    </row>
    <row r="72" spans="1:14" x14ac:dyDescent="0.25">
      <c r="A72" t="s">
        <v>326</v>
      </c>
      <c r="B72">
        <f t="shared" si="3"/>
        <v>24</v>
      </c>
      <c r="C72" t="str">
        <f t="shared" si="4"/>
        <v>03</v>
      </c>
      <c r="D72" t="str">
        <f t="shared" si="5"/>
        <v>B</v>
      </c>
      <c r="J72">
        <v>0</v>
      </c>
      <c r="K72" s="4">
        <v>2</v>
      </c>
      <c r="L72" s="5"/>
      <c r="M72" s="5"/>
    </row>
    <row r="73" spans="1:14" x14ac:dyDescent="0.25">
      <c r="A73" t="s">
        <v>104</v>
      </c>
      <c r="B73">
        <f t="shared" si="3"/>
        <v>24</v>
      </c>
      <c r="C73" t="str">
        <f t="shared" si="4"/>
        <v>03</v>
      </c>
      <c r="D73" t="str">
        <f t="shared" si="5"/>
        <v>A</v>
      </c>
      <c r="J73">
        <v>268</v>
      </c>
      <c r="K73" s="4">
        <v>2</v>
      </c>
      <c r="L73" s="5"/>
      <c r="M73" s="5"/>
      <c r="N73">
        <v>298</v>
      </c>
    </row>
    <row r="74" spans="1:14" x14ac:dyDescent="0.25">
      <c r="A74" t="s">
        <v>105</v>
      </c>
      <c r="B74">
        <f t="shared" si="3"/>
        <v>29</v>
      </c>
      <c r="C74" t="str">
        <f t="shared" si="4"/>
        <v>03</v>
      </c>
      <c r="D74" t="str">
        <f t="shared" si="5"/>
        <v>A</v>
      </c>
      <c r="J74">
        <v>199</v>
      </c>
      <c r="K74" s="4">
        <v>2</v>
      </c>
      <c r="L74" s="5"/>
      <c r="M74" s="5"/>
      <c r="N74">
        <v>173</v>
      </c>
    </row>
    <row r="75" spans="1:14" x14ac:dyDescent="0.25">
      <c r="A75" t="s">
        <v>106</v>
      </c>
      <c r="B75">
        <f t="shared" si="3"/>
        <v>31</v>
      </c>
      <c r="C75" t="str">
        <f t="shared" si="4"/>
        <v>03</v>
      </c>
      <c r="D75" t="str">
        <f t="shared" si="5"/>
        <v>A</v>
      </c>
      <c r="J75">
        <v>277</v>
      </c>
      <c r="K75" s="4">
        <v>2</v>
      </c>
      <c r="L75" s="5"/>
      <c r="M75" s="5"/>
      <c r="N75">
        <v>62</v>
      </c>
    </row>
    <row r="76" spans="1:14" x14ac:dyDescent="0.25">
      <c r="A76" t="s">
        <v>107</v>
      </c>
      <c r="B76">
        <f t="shared" si="3"/>
        <v>38</v>
      </c>
      <c r="C76" t="str">
        <f t="shared" si="4"/>
        <v>03</v>
      </c>
      <c r="D76" t="str">
        <f t="shared" si="5"/>
        <v>A</v>
      </c>
      <c r="J76">
        <v>146</v>
      </c>
      <c r="K76" s="4">
        <v>2</v>
      </c>
      <c r="L76" s="5"/>
      <c r="M76" s="5"/>
      <c r="N76">
        <v>45</v>
      </c>
    </row>
    <row r="77" spans="1:14" x14ac:dyDescent="0.25">
      <c r="A77" t="s">
        <v>108</v>
      </c>
      <c r="B77">
        <f t="shared" si="3"/>
        <v>39</v>
      </c>
      <c r="C77" t="str">
        <f t="shared" si="4"/>
        <v>03</v>
      </c>
      <c r="D77" t="str">
        <f t="shared" si="5"/>
        <v>A</v>
      </c>
      <c r="J77">
        <v>98</v>
      </c>
      <c r="K77" s="4">
        <v>2</v>
      </c>
      <c r="L77" s="5"/>
      <c r="M77" s="5"/>
      <c r="N77">
        <v>23</v>
      </c>
    </row>
    <row r="78" spans="1:14" x14ac:dyDescent="0.25">
      <c r="A78" t="s">
        <v>265</v>
      </c>
      <c r="B78">
        <f t="shared" si="3"/>
        <v>43</v>
      </c>
      <c r="C78" t="str">
        <f t="shared" si="4"/>
        <v>03</v>
      </c>
      <c r="D78" t="str">
        <f t="shared" si="5"/>
        <v>A</v>
      </c>
      <c r="J78">
        <v>135</v>
      </c>
      <c r="K78" s="4">
        <v>2</v>
      </c>
      <c r="L78" s="5"/>
      <c r="M78" s="5"/>
    </row>
    <row r="79" spans="1:14" x14ac:dyDescent="0.25">
      <c r="A79" t="s">
        <v>109</v>
      </c>
      <c r="B79">
        <f t="shared" si="3"/>
        <v>45</v>
      </c>
      <c r="C79" t="str">
        <f t="shared" si="4"/>
        <v>03</v>
      </c>
      <c r="D79" t="str">
        <f t="shared" si="5"/>
        <v>A</v>
      </c>
      <c r="K79" s="3"/>
      <c r="L79" s="3"/>
      <c r="M79" s="3"/>
      <c r="N79">
        <v>48</v>
      </c>
    </row>
    <row r="80" spans="1:14" x14ac:dyDescent="0.25">
      <c r="A80" t="s">
        <v>110</v>
      </c>
      <c r="B80">
        <f t="shared" si="3"/>
        <v>45</v>
      </c>
      <c r="C80" t="str">
        <f t="shared" si="4"/>
        <v>03</v>
      </c>
      <c r="D80" t="str">
        <f t="shared" si="5"/>
        <v>A</v>
      </c>
      <c r="J80">
        <v>73</v>
      </c>
      <c r="K80" s="4">
        <v>2</v>
      </c>
      <c r="L80" s="5"/>
      <c r="M80" s="5"/>
      <c r="N80">
        <v>115</v>
      </c>
    </row>
    <row r="81" spans="1:14" x14ac:dyDescent="0.25">
      <c r="A81" t="s">
        <v>266</v>
      </c>
      <c r="B81">
        <f t="shared" si="3"/>
        <v>45</v>
      </c>
      <c r="C81" t="str">
        <f t="shared" si="4"/>
        <v>03</v>
      </c>
      <c r="D81" t="str">
        <f t="shared" si="5"/>
        <v>B</v>
      </c>
      <c r="J81">
        <v>146</v>
      </c>
      <c r="K81" s="4">
        <v>2</v>
      </c>
      <c r="L81" s="5"/>
      <c r="M81" s="5"/>
    </row>
    <row r="82" spans="1:14" x14ac:dyDescent="0.25">
      <c r="A82" t="s">
        <v>111</v>
      </c>
      <c r="B82">
        <f t="shared" si="3"/>
        <v>52</v>
      </c>
      <c r="C82" t="str">
        <f t="shared" si="4"/>
        <v>03</v>
      </c>
      <c r="D82" t="str">
        <f t="shared" si="5"/>
        <v>A</v>
      </c>
      <c r="J82">
        <v>45</v>
      </c>
      <c r="K82" s="4">
        <v>2</v>
      </c>
      <c r="L82" s="5"/>
      <c r="M82" s="5"/>
      <c r="N82">
        <v>29</v>
      </c>
    </row>
    <row r="83" spans="1:14" x14ac:dyDescent="0.25">
      <c r="A83" t="s">
        <v>112</v>
      </c>
      <c r="B83">
        <f t="shared" si="3"/>
        <v>53</v>
      </c>
      <c r="C83" t="str">
        <f t="shared" si="4"/>
        <v>03</v>
      </c>
      <c r="D83" t="str">
        <f t="shared" si="5"/>
        <v>A</v>
      </c>
      <c r="K83" s="3"/>
      <c r="L83" s="3"/>
      <c r="M83" s="3"/>
      <c r="N83">
        <v>34</v>
      </c>
    </row>
    <row r="84" spans="1:14" x14ac:dyDescent="0.25">
      <c r="A84" t="s">
        <v>113</v>
      </c>
      <c r="B84">
        <f t="shared" si="3"/>
        <v>53</v>
      </c>
      <c r="C84" t="str">
        <f t="shared" si="4"/>
        <v>03</v>
      </c>
      <c r="D84" t="str">
        <f t="shared" si="5"/>
        <v>A</v>
      </c>
      <c r="J84">
        <v>38</v>
      </c>
      <c r="K84" s="4">
        <v>2</v>
      </c>
      <c r="L84" s="5"/>
      <c r="M84" s="5"/>
      <c r="N84">
        <v>30</v>
      </c>
    </row>
    <row r="85" spans="1:14" x14ac:dyDescent="0.25">
      <c r="A85" t="s">
        <v>114</v>
      </c>
      <c r="B85">
        <f t="shared" si="3"/>
        <v>60</v>
      </c>
      <c r="C85" t="str">
        <f t="shared" si="4"/>
        <v>03</v>
      </c>
      <c r="D85" t="str">
        <f t="shared" si="5"/>
        <v>A</v>
      </c>
      <c r="K85" s="3"/>
      <c r="L85" s="3"/>
      <c r="M85" s="3"/>
      <c r="N85">
        <v>86</v>
      </c>
    </row>
    <row r="86" spans="1:14" x14ac:dyDescent="0.25">
      <c r="A86" t="s">
        <v>267</v>
      </c>
      <c r="B86">
        <f t="shared" si="3"/>
        <v>1</v>
      </c>
      <c r="C86" t="str">
        <f t="shared" si="4"/>
        <v>04</v>
      </c>
      <c r="D86" t="str">
        <f t="shared" si="5"/>
        <v>A</v>
      </c>
      <c r="J86">
        <v>116</v>
      </c>
      <c r="K86" s="4">
        <v>1</v>
      </c>
      <c r="L86" s="5"/>
      <c r="M86" s="5"/>
    </row>
    <row r="87" spans="1:14" x14ac:dyDescent="0.25">
      <c r="A87" t="s">
        <v>268</v>
      </c>
      <c r="B87">
        <f t="shared" si="3"/>
        <v>1</v>
      </c>
      <c r="C87" t="str">
        <f t="shared" si="4"/>
        <v>04</v>
      </c>
      <c r="D87" t="str">
        <f t="shared" si="5"/>
        <v>B</v>
      </c>
      <c r="J87">
        <v>146</v>
      </c>
      <c r="K87" s="4">
        <v>1</v>
      </c>
      <c r="L87" s="5"/>
      <c r="M87" s="5"/>
    </row>
    <row r="88" spans="1:14" x14ac:dyDescent="0.25">
      <c r="A88" t="s">
        <v>327</v>
      </c>
      <c r="B88">
        <f t="shared" si="3"/>
        <v>1</v>
      </c>
      <c r="C88" t="str">
        <f t="shared" si="4"/>
        <v>04</v>
      </c>
      <c r="D88" t="str">
        <f t="shared" si="5"/>
        <v>C</v>
      </c>
      <c r="J88">
        <v>13</v>
      </c>
      <c r="K88" s="4">
        <v>0</v>
      </c>
      <c r="L88" s="5"/>
      <c r="M88" s="5"/>
    </row>
    <row r="89" spans="1:14" x14ac:dyDescent="0.25">
      <c r="A89" t="s">
        <v>115</v>
      </c>
      <c r="B89">
        <f t="shared" si="3"/>
        <v>2</v>
      </c>
      <c r="C89" t="str">
        <f t="shared" si="4"/>
        <v>04</v>
      </c>
      <c r="D89" t="str">
        <f t="shared" si="5"/>
        <v>A</v>
      </c>
      <c r="J89">
        <v>141</v>
      </c>
      <c r="K89" s="4">
        <v>1</v>
      </c>
      <c r="L89" s="5"/>
      <c r="M89" s="5"/>
      <c r="N89">
        <v>77</v>
      </c>
    </row>
    <row r="90" spans="1:14" x14ac:dyDescent="0.25">
      <c r="A90" t="s">
        <v>269</v>
      </c>
      <c r="B90">
        <f t="shared" si="3"/>
        <v>2</v>
      </c>
      <c r="C90" t="str">
        <f t="shared" si="4"/>
        <v>04</v>
      </c>
      <c r="D90" t="str">
        <f t="shared" si="5"/>
        <v>B</v>
      </c>
      <c r="J90">
        <v>93</v>
      </c>
      <c r="K90" s="4">
        <v>0</v>
      </c>
      <c r="L90" s="5"/>
      <c r="M90" s="5"/>
    </row>
    <row r="91" spans="1:14" x14ac:dyDescent="0.25">
      <c r="A91" t="s">
        <v>116</v>
      </c>
      <c r="B91">
        <f t="shared" si="3"/>
        <v>3</v>
      </c>
      <c r="C91" t="str">
        <f t="shared" si="4"/>
        <v>04</v>
      </c>
      <c r="D91" t="str">
        <f t="shared" si="5"/>
        <v>A</v>
      </c>
      <c r="J91">
        <v>330</v>
      </c>
      <c r="K91" s="4">
        <v>2</v>
      </c>
      <c r="L91" s="5"/>
      <c r="M91" s="5"/>
      <c r="N91">
        <v>233</v>
      </c>
    </row>
    <row r="92" spans="1:14" x14ac:dyDescent="0.25">
      <c r="A92" t="s">
        <v>270</v>
      </c>
      <c r="B92">
        <f t="shared" si="3"/>
        <v>3</v>
      </c>
      <c r="C92" t="str">
        <f t="shared" si="4"/>
        <v>04</v>
      </c>
      <c r="D92" t="str">
        <f t="shared" si="5"/>
        <v>B</v>
      </c>
      <c r="J92">
        <v>407</v>
      </c>
      <c r="K92" s="4">
        <v>2</v>
      </c>
      <c r="L92" s="5"/>
      <c r="M92" s="5"/>
    </row>
    <row r="93" spans="1:14" x14ac:dyDescent="0.25">
      <c r="A93" t="s">
        <v>117</v>
      </c>
      <c r="B93">
        <f t="shared" si="3"/>
        <v>3</v>
      </c>
      <c r="C93" t="str">
        <f t="shared" si="4"/>
        <v>04</v>
      </c>
      <c r="D93" t="str">
        <f t="shared" si="5"/>
        <v>A</v>
      </c>
      <c r="J93">
        <v>82</v>
      </c>
      <c r="K93" s="4">
        <v>1</v>
      </c>
      <c r="L93" s="5"/>
      <c r="M93" s="5"/>
      <c r="N93">
        <v>39</v>
      </c>
    </row>
    <row r="94" spans="1:14" x14ac:dyDescent="0.25">
      <c r="A94" t="s">
        <v>328</v>
      </c>
      <c r="B94">
        <f t="shared" si="3"/>
        <v>3</v>
      </c>
      <c r="C94" t="str">
        <f t="shared" si="4"/>
        <v>04</v>
      </c>
      <c r="D94" t="str">
        <f t="shared" si="5"/>
        <v>B</v>
      </c>
      <c r="J94">
        <v>32</v>
      </c>
      <c r="K94" s="4">
        <v>0</v>
      </c>
      <c r="L94" s="5"/>
      <c r="M94" s="5"/>
    </row>
    <row r="95" spans="1:14" x14ac:dyDescent="0.25">
      <c r="A95" t="s">
        <v>118</v>
      </c>
      <c r="B95">
        <f t="shared" si="3"/>
        <v>5</v>
      </c>
      <c r="C95" t="str">
        <f t="shared" si="4"/>
        <v>04</v>
      </c>
      <c r="D95" t="str">
        <f t="shared" si="5"/>
        <v>A</v>
      </c>
      <c r="J95">
        <v>0</v>
      </c>
      <c r="K95" s="4">
        <v>0</v>
      </c>
      <c r="L95" s="5"/>
      <c r="M95" s="5"/>
      <c r="N95">
        <v>526</v>
      </c>
    </row>
    <row r="96" spans="1:14" x14ac:dyDescent="0.25">
      <c r="A96" t="s">
        <v>329</v>
      </c>
      <c r="B96">
        <f t="shared" si="3"/>
        <v>5</v>
      </c>
      <c r="C96" t="str">
        <f t="shared" si="4"/>
        <v>04</v>
      </c>
      <c r="D96" t="str">
        <f t="shared" si="5"/>
        <v>B</v>
      </c>
      <c r="J96">
        <v>0</v>
      </c>
      <c r="K96" s="4">
        <v>0</v>
      </c>
      <c r="L96" s="5"/>
      <c r="M96" s="5"/>
    </row>
    <row r="97" spans="1:14" x14ac:dyDescent="0.25">
      <c r="A97" t="s">
        <v>31</v>
      </c>
      <c r="B97">
        <f t="shared" si="3"/>
        <v>5</v>
      </c>
      <c r="C97" t="str">
        <f t="shared" si="4"/>
        <v>04</v>
      </c>
      <c r="D97" t="str">
        <f t="shared" si="5"/>
        <v>A</v>
      </c>
      <c r="E97">
        <v>16</v>
      </c>
      <c r="G97" s="4">
        <v>0</v>
      </c>
      <c r="H97" s="5"/>
      <c r="I97" s="5"/>
      <c r="J97">
        <v>0</v>
      </c>
      <c r="K97">
        <v>0</v>
      </c>
      <c r="N97">
        <v>186</v>
      </c>
    </row>
    <row r="98" spans="1:14" x14ac:dyDescent="0.25">
      <c r="A98" t="s">
        <v>32</v>
      </c>
      <c r="B98">
        <f t="shared" si="3"/>
        <v>5</v>
      </c>
      <c r="C98" t="str">
        <f t="shared" si="4"/>
        <v>04</v>
      </c>
      <c r="D98" t="str">
        <f t="shared" si="5"/>
        <v>B</v>
      </c>
      <c r="E98">
        <v>54</v>
      </c>
      <c r="G98" s="4">
        <v>0</v>
      </c>
      <c r="H98" s="5"/>
      <c r="I98" s="5"/>
      <c r="J98">
        <v>0</v>
      </c>
      <c r="K98">
        <v>0</v>
      </c>
    </row>
    <row r="99" spans="1:14" x14ac:dyDescent="0.25">
      <c r="A99" t="s">
        <v>119</v>
      </c>
      <c r="B99">
        <f t="shared" si="3"/>
        <v>8</v>
      </c>
      <c r="C99" t="str">
        <f t="shared" si="4"/>
        <v>04</v>
      </c>
      <c r="D99" t="str">
        <f t="shared" si="5"/>
        <v>A</v>
      </c>
      <c r="J99">
        <v>0</v>
      </c>
      <c r="K99" s="4">
        <v>0</v>
      </c>
      <c r="L99" s="5"/>
      <c r="M99" s="5"/>
      <c r="N99">
        <v>628</v>
      </c>
    </row>
    <row r="100" spans="1:14" x14ac:dyDescent="0.25">
      <c r="A100" t="s">
        <v>330</v>
      </c>
      <c r="B100">
        <f t="shared" si="3"/>
        <v>8</v>
      </c>
      <c r="C100" t="str">
        <f t="shared" si="4"/>
        <v>04</v>
      </c>
      <c r="D100" t="str">
        <f t="shared" si="5"/>
        <v>B</v>
      </c>
      <c r="J100">
        <v>0</v>
      </c>
      <c r="K100" s="4">
        <v>1</v>
      </c>
      <c r="L100" s="5"/>
      <c r="M100" s="5"/>
    </row>
    <row r="101" spans="1:14" x14ac:dyDescent="0.25">
      <c r="A101" t="s">
        <v>120</v>
      </c>
      <c r="B101">
        <f t="shared" si="3"/>
        <v>8</v>
      </c>
      <c r="C101" t="str">
        <f t="shared" si="4"/>
        <v>04</v>
      </c>
      <c r="D101" t="str">
        <f t="shared" si="5"/>
        <v>A</v>
      </c>
      <c r="J101">
        <v>90</v>
      </c>
      <c r="K101" s="4">
        <v>1</v>
      </c>
      <c r="L101" s="5"/>
      <c r="M101" s="5"/>
      <c r="N101">
        <v>792</v>
      </c>
    </row>
    <row r="102" spans="1:14" x14ac:dyDescent="0.25">
      <c r="A102" t="s">
        <v>271</v>
      </c>
      <c r="B102">
        <f t="shared" si="3"/>
        <v>8</v>
      </c>
      <c r="C102" t="str">
        <f t="shared" si="4"/>
        <v>04</v>
      </c>
      <c r="D102" t="str">
        <f t="shared" si="5"/>
        <v>B</v>
      </c>
      <c r="J102">
        <v>86</v>
      </c>
      <c r="K102" s="4">
        <v>1</v>
      </c>
      <c r="L102" s="5"/>
      <c r="M102" s="5"/>
    </row>
    <row r="103" spans="1:14" x14ac:dyDescent="0.25">
      <c r="A103" t="s">
        <v>121</v>
      </c>
      <c r="B103">
        <f t="shared" si="3"/>
        <v>10</v>
      </c>
      <c r="C103" t="str">
        <f t="shared" si="4"/>
        <v>04</v>
      </c>
      <c r="D103" t="str">
        <f t="shared" si="5"/>
        <v>A</v>
      </c>
      <c r="J103">
        <v>300</v>
      </c>
      <c r="K103" s="4">
        <v>2</v>
      </c>
      <c r="L103" s="5"/>
      <c r="M103" s="5"/>
      <c r="N103">
        <v>597</v>
      </c>
    </row>
    <row r="104" spans="1:14" x14ac:dyDescent="0.25">
      <c r="A104" t="s">
        <v>272</v>
      </c>
      <c r="B104">
        <f t="shared" si="3"/>
        <v>10</v>
      </c>
      <c r="C104" t="str">
        <f t="shared" si="4"/>
        <v>04</v>
      </c>
      <c r="D104" t="str">
        <f t="shared" si="5"/>
        <v>B</v>
      </c>
      <c r="J104">
        <v>120</v>
      </c>
      <c r="K104" s="4">
        <v>1</v>
      </c>
      <c r="L104" s="5"/>
      <c r="M104" s="5"/>
    </row>
    <row r="105" spans="1:14" x14ac:dyDescent="0.25">
      <c r="A105" t="s">
        <v>243</v>
      </c>
      <c r="B105">
        <f t="shared" si="3"/>
        <v>11</v>
      </c>
      <c r="C105" t="str">
        <f t="shared" si="4"/>
        <v>04</v>
      </c>
      <c r="D105" t="str">
        <f t="shared" si="5"/>
        <v>A</v>
      </c>
      <c r="J105">
        <v>91</v>
      </c>
      <c r="K105" s="4">
        <v>1</v>
      </c>
      <c r="L105" s="5"/>
      <c r="M105" s="5"/>
      <c r="N105">
        <v>0</v>
      </c>
    </row>
    <row r="106" spans="1:14" x14ac:dyDescent="0.25">
      <c r="A106" t="s">
        <v>273</v>
      </c>
      <c r="B106">
        <f t="shared" si="3"/>
        <v>11</v>
      </c>
      <c r="C106" t="str">
        <f t="shared" si="4"/>
        <v>04</v>
      </c>
      <c r="D106" t="str">
        <f t="shared" si="5"/>
        <v>B</v>
      </c>
      <c r="J106">
        <v>94</v>
      </c>
      <c r="K106" s="4">
        <v>0</v>
      </c>
      <c r="L106" s="5"/>
      <c r="M106" s="5"/>
    </row>
    <row r="107" spans="1:14" x14ac:dyDescent="0.25">
      <c r="A107" t="s">
        <v>122</v>
      </c>
      <c r="B107">
        <f t="shared" si="3"/>
        <v>13</v>
      </c>
      <c r="C107" t="str">
        <f t="shared" si="4"/>
        <v>04</v>
      </c>
      <c r="D107" t="str">
        <f t="shared" si="5"/>
        <v>A</v>
      </c>
      <c r="J107">
        <v>73</v>
      </c>
      <c r="K107" s="4">
        <v>1</v>
      </c>
      <c r="L107" s="5"/>
      <c r="M107" s="5"/>
      <c r="N107">
        <v>239</v>
      </c>
    </row>
    <row r="108" spans="1:14" x14ac:dyDescent="0.25">
      <c r="A108" t="s">
        <v>274</v>
      </c>
      <c r="B108">
        <f t="shared" si="3"/>
        <v>13</v>
      </c>
      <c r="C108" t="str">
        <f t="shared" si="4"/>
        <v>04</v>
      </c>
      <c r="D108" t="str">
        <f t="shared" si="5"/>
        <v>B</v>
      </c>
      <c r="J108">
        <v>59</v>
      </c>
      <c r="K108" s="4">
        <v>1</v>
      </c>
      <c r="L108" s="5"/>
      <c r="M108" s="5"/>
    </row>
    <row r="109" spans="1:14" x14ac:dyDescent="0.25">
      <c r="A109" t="s">
        <v>123</v>
      </c>
      <c r="B109">
        <f t="shared" si="3"/>
        <v>14</v>
      </c>
      <c r="C109" t="str">
        <f t="shared" si="4"/>
        <v>04</v>
      </c>
      <c r="D109" t="str">
        <f t="shared" si="5"/>
        <v>A</v>
      </c>
      <c r="J109">
        <v>38</v>
      </c>
      <c r="K109" s="4">
        <v>1</v>
      </c>
      <c r="L109" s="5"/>
      <c r="M109" s="5"/>
      <c r="N109">
        <v>194</v>
      </c>
    </row>
    <row r="110" spans="1:14" x14ac:dyDescent="0.25">
      <c r="A110" t="s">
        <v>275</v>
      </c>
      <c r="B110">
        <f t="shared" si="3"/>
        <v>14</v>
      </c>
      <c r="C110" t="str">
        <f t="shared" si="4"/>
        <v>04</v>
      </c>
      <c r="D110" t="str">
        <f t="shared" si="5"/>
        <v>B</v>
      </c>
      <c r="J110">
        <v>59</v>
      </c>
      <c r="K110" s="4">
        <v>1</v>
      </c>
      <c r="L110" s="5"/>
      <c r="M110" s="5"/>
    </row>
    <row r="111" spans="1:14" x14ac:dyDescent="0.25">
      <c r="A111" t="s">
        <v>124</v>
      </c>
      <c r="B111">
        <f t="shared" si="3"/>
        <v>17</v>
      </c>
      <c r="C111" t="str">
        <f t="shared" si="4"/>
        <v>04</v>
      </c>
      <c r="D111" t="str">
        <f t="shared" si="5"/>
        <v>A</v>
      </c>
      <c r="J111">
        <v>91</v>
      </c>
      <c r="K111" s="4">
        <v>0</v>
      </c>
      <c r="L111" s="5"/>
      <c r="M111" s="5"/>
      <c r="N111">
        <v>558</v>
      </c>
    </row>
    <row r="112" spans="1:14" x14ac:dyDescent="0.25">
      <c r="A112" t="s">
        <v>276</v>
      </c>
      <c r="B112">
        <f t="shared" si="3"/>
        <v>17</v>
      </c>
      <c r="C112" t="str">
        <f t="shared" si="4"/>
        <v>04</v>
      </c>
      <c r="D112" t="str">
        <f t="shared" si="5"/>
        <v>B</v>
      </c>
      <c r="J112">
        <v>56</v>
      </c>
      <c r="K112" s="4">
        <v>2</v>
      </c>
      <c r="L112" s="5"/>
      <c r="M112" s="5"/>
    </row>
    <row r="113" spans="1:14" x14ac:dyDescent="0.25">
      <c r="A113" t="s">
        <v>125</v>
      </c>
      <c r="B113">
        <f t="shared" si="3"/>
        <v>17</v>
      </c>
      <c r="C113" t="str">
        <f t="shared" si="4"/>
        <v>04</v>
      </c>
      <c r="D113" t="str">
        <f t="shared" si="5"/>
        <v>A</v>
      </c>
      <c r="J113">
        <v>299</v>
      </c>
      <c r="K113" s="4">
        <v>2</v>
      </c>
      <c r="L113" s="5"/>
      <c r="M113" s="5"/>
      <c r="N113">
        <v>48</v>
      </c>
    </row>
    <row r="114" spans="1:14" x14ac:dyDescent="0.25">
      <c r="A114" t="s">
        <v>277</v>
      </c>
      <c r="B114">
        <f t="shared" si="3"/>
        <v>17</v>
      </c>
      <c r="C114" t="str">
        <f t="shared" si="4"/>
        <v>04</v>
      </c>
      <c r="D114" t="str">
        <f t="shared" si="5"/>
        <v>B</v>
      </c>
      <c r="J114">
        <v>305</v>
      </c>
      <c r="K114" s="4">
        <v>2</v>
      </c>
      <c r="L114" s="5"/>
      <c r="M114" s="5"/>
    </row>
    <row r="115" spans="1:14" x14ac:dyDescent="0.25">
      <c r="A115" t="s">
        <v>126</v>
      </c>
      <c r="B115">
        <f t="shared" si="3"/>
        <v>20</v>
      </c>
      <c r="C115" t="str">
        <f t="shared" si="4"/>
        <v>04</v>
      </c>
      <c r="D115" t="str">
        <f t="shared" si="5"/>
        <v>A</v>
      </c>
      <c r="K115" s="3"/>
      <c r="L115" s="3"/>
      <c r="M115" s="3"/>
      <c r="N115">
        <v>6</v>
      </c>
    </row>
    <row r="116" spans="1:14" x14ac:dyDescent="0.25">
      <c r="A116" t="s">
        <v>127</v>
      </c>
      <c r="B116">
        <f t="shared" si="3"/>
        <v>21</v>
      </c>
      <c r="C116" t="str">
        <f t="shared" si="4"/>
        <v>04</v>
      </c>
      <c r="D116" t="str">
        <f t="shared" si="5"/>
        <v>A</v>
      </c>
      <c r="J116">
        <v>384</v>
      </c>
      <c r="K116" s="4">
        <v>1</v>
      </c>
      <c r="L116" s="5"/>
      <c r="M116" s="5"/>
      <c r="N116">
        <v>729</v>
      </c>
    </row>
    <row r="117" spans="1:14" x14ac:dyDescent="0.25">
      <c r="A117" t="s">
        <v>128</v>
      </c>
      <c r="B117">
        <f t="shared" si="3"/>
        <v>22</v>
      </c>
      <c r="C117" t="str">
        <f t="shared" si="4"/>
        <v>04</v>
      </c>
      <c r="D117" t="str">
        <f t="shared" si="5"/>
        <v>A</v>
      </c>
      <c r="J117">
        <v>294</v>
      </c>
      <c r="K117" s="4">
        <v>0</v>
      </c>
      <c r="L117" s="5"/>
      <c r="M117" s="5"/>
      <c r="N117">
        <v>332</v>
      </c>
    </row>
    <row r="118" spans="1:14" x14ac:dyDescent="0.25">
      <c r="A118" t="s">
        <v>129</v>
      </c>
      <c r="B118">
        <f t="shared" si="3"/>
        <v>22</v>
      </c>
      <c r="C118" t="str">
        <f t="shared" si="4"/>
        <v>04</v>
      </c>
      <c r="D118" t="str">
        <f t="shared" si="5"/>
        <v>B</v>
      </c>
      <c r="K118" s="3"/>
      <c r="L118" s="3"/>
      <c r="M118" s="3"/>
      <c r="N118">
        <v>212</v>
      </c>
    </row>
    <row r="119" spans="1:14" x14ac:dyDescent="0.25">
      <c r="A119" t="s">
        <v>130</v>
      </c>
      <c r="B119">
        <f t="shared" si="3"/>
        <v>22</v>
      </c>
      <c r="C119" t="str">
        <f t="shared" si="4"/>
        <v>04</v>
      </c>
      <c r="D119" t="str">
        <f t="shared" si="5"/>
        <v>A</v>
      </c>
      <c r="J119">
        <v>206</v>
      </c>
      <c r="K119" s="4">
        <v>2</v>
      </c>
      <c r="L119" s="5"/>
      <c r="M119" s="5"/>
      <c r="N119">
        <v>358</v>
      </c>
    </row>
    <row r="120" spans="1:14" x14ac:dyDescent="0.25">
      <c r="A120" t="s">
        <v>278</v>
      </c>
      <c r="B120">
        <f t="shared" si="3"/>
        <v>22</v>
      </c>
      <c r="C120" t="str">
        <f t="shared" si="4"/>
        <v>04</v>
      </c>
      <c r="D120" t="str">
        <f t="shared" si="5"/>
        <v>B</v>
      </c>
      <c r="J120">
        <v>208</v>
      </c>
      <c r="K120" s="4">
        <v>2</v>
      </c>
      <c r="L120" s="5"/>
      <c r="M120" s="5"/>
    </row>
    <row r="121" spans="1:14" x14ac:dyDescent="0.25">
      <c r="A121" t="s">
        <v>131</v>
      </c>
      <c r="B121">
        <f t="shared" si="3"/>
        <v>24</v>
      </c>
      <c r="C121" t="str">
        <f t="shared" si="4"/>
        <v>04</v>
      </c>
      <c r="D121" t="str">
        <f t="shared" si="5"/>
        <v>A</v>
      </c>
      <c r="J121">
        <v>178</v>
      </c>
      <c r="K121" s="4">
        <v>1</v>
      </c>
      <c r="L121" s="5"/>
      <c r="M121" s="5"/>
      <c r="N121">
        <v>102</v>
      </c>
    </row>
    <row r="122" spans="1:14" x14ac:dyDescent="0.25">
      <c r="A122" t="s">
        <v>132</v>
      </c>
      <c r="B122">
        <f t="shared" si="3"/>
        <v>31</v>
      </c>
      <c r="C122" t="str">
        <f t="shared" si="4"/>
        <v>04</v>
      </c>
      <c r="D122" t="str">
        <f t="shared" si="5"/>
        <v>A</v>
      </c>
      <c r="J122">
        <v>318</v>
      </c>
      <c r="K122" s="4">
        <v>2</v>
      </c>
      <c r="L122" s="5"/>
      <c r="M122" s="5"/>
      <c r="N122">
        <v>89</v>
      </c>
    </row>
    <row r="123" spans="1:14" x14ac:dyDescent="0.25">
      <c r="A123" t="s">
        <v>133</v>
      </c>
      <c r="B123">
        <f t="shared" si="3"/>
        <v>31</v>
      </c>
      <c r="C123" t="str">
        <f t="shared" si="4"/>
        <v>04</v>
      </c>
      <c r="D123" t="str">
        <f t="shared" si="5"/>
        <v>A</v>
      </c>
      <c r="J123">
        <v>149</v>
      </c>
      <c r="K123" s="4">
        <v>1</v>
      </c>
      <c r="L123" s="5"/>
      <c r="M123" s="5"/>
      <c r="N123">
        <v>101</v>
      </c>
    </row>
    <row r="124" spans="1:14" x14ac:dyDescent="0.25">
      <c r="A124" t="s">
        <v>134</v>
      </c>
      <c r="B124">
        <f t="shared" si="3"/>
        <v>38</v>
      </c>
      <c r="C124" t="str">
        <f t="shared" si="4"/>
        <v>04</v>
      </c>
      <c r="D124" t="str">
        <f t="shared" si="5"/>
        <v>A</v>
      </c>
      <c r="J124">
        <v>250</v>
      </c>
      <c r="K124" s="4">
        <v>2</v>
      </c>
      <c r="L124" s="5"/>
      <c r="M124" s="5"/>
      <c r="N124">
        <v>117</v>
      </c>
    </row>
    <row r="125" spans="1:14" x14ac:dyDescent="0.25">
      <c r="A125" t="s">
        <v>135</v>
      </c>
      <c r="B125">
        <f t="shared" si="3"/>
        <v>38</v>
      </c>
      <c r="C125" t="str">
        <f t="shared" si="4"/>
        <v>04</v>
      </c>
      <c r="D125" t="str">
        <f t="shared" si="5"/>
        <v>A</v>
      </c>
      <c r="J125">
        <v>155</v>
      </c>
      <c r="K125" s="4">
        <v>2</v>
      </c>
      <c r="L125" s="5"/>
      <c r="M125" s="5"/>
      <c r="N125">
        <v>102</v>
      </c>
    </row>
    <row r="126" spans="1:14" x14ac:dyDescent="0.25">
      <c r="A126" t="s">
        <v>136</v>
      </c>
      <c r="B126">
        <f t="shared" si="3"/>
        <v>38</v>
      </c>
      <c r="C126" t="str">
        <f t="shared" si="4"/>
        <v>04</v>
      </c>
      <c r="D126" t="str">
        <f t="shared" si="5"/>
        <v>B</v>
      </c>
      <c r="J126">
        <v>172</v>
      </c>
      <c r="K126" s="4">
        <v>2</v>
      </c>
      <c r="L126" s="5"/>
      <c r="M126" s="5"/>
      <c r="N126">
        <v>61</v>
      </c>
    </row>
    <row r="127" spans="1:14" x14ac:dyDescent="0.25">
      <c r="A127" t="s">
        <v>137</v>
      </c>
      <c r="B127">
        <f t="shared" si="3"/>
        <v>43</v>
      </c>
      <c r="C127" t="str">
        <f t="shared" si="4"/>
        <v>04</v>
      </c>
      <c r="D127" t="str">
        <f t="shared" si="5"/>
        <v>A</v>
      </c>
      <c r="J127">
        <v>123</v>
      </c>
      <c r="K127" s="4">
        <v>2</v>
      </c>
      <c r="L127" s="5"/>
      <c r="M127" s="5"/>
      <c r="N127">
        <v>111</v>
      </c>
    </row>
    <row r="128" spans="1:14" x14ac:dyDescent="0.25">
      <c r="A128" t="s">
        <v>138</v>
      </c>
      <c r="B128">
        <f t="shared" si="3"/>
        <v>46</v>
      </c>
      <c r="C128" t="str">
        <f t="shared" si="4"/>
        <v>04</v>
      </c>
      <c r="D128" t="str">
        <f t="shared" si="5"/>
        <v>A</v>
      </c>
      <c r="J128">
        <v>225</v>
      </c>
      <c r="K128" s="4">
        <v>2</v>
      </c>
      <c r="L128" s="5"/>
      <c r="M128" s="5"/>
      <c r="N128">
        <v>312</v>
      </c>
    </row>
    <row r="129" spans="1:14" x14ac:dyDescent="0.25">
      <c r="A129" t="s">
        <v>139</v>
      </c>
      <c r="B129">
        <f t="shared" si="3"/>
        <v>52</v>
      </c>
      <c r="C129" t="str">
        <f t="shared" si="4"/>
        <v>04</v>
      </c>
      <c r="D129" t="str">
        <f t="shared" si="5"/>
        <v>A</v>
      </c>
      <c r="J129">
        <v>161</v>
      </c>
      <c r="K129" s="4">
        <v>2</v>
      </c>
      <c r="L129" s="5"/>
      <c r="M129" s="5"/>
      <c r="N129">
        <v>97</v>
      </c>
    </row>
    <row r="130" spans="1:14" x14ac:dyDescent="0.25">
      <c r="A130" t="s">
        <v>140</v>
      </c>
      <c r="B130">
        <f t="shared" ref="B130:B193" si="6">MID(A130,4,2)+0</f>
        <v>52</v>
      </c>
      <c r="C130" t="str">
        <f t="shared" ref="C130:C193" si="7">LEFT(A130,2)</f>
        <v>04</v>
      </c>
      <c r="D130" t="str">
        <f t="shared" ref="D130:D193" si="8">RIGHT(A130)</f>
        <v>A</v>
      </c>
      <c r="J130">
        <v>60</v>
      </c>
      <c r="K130" s="4">
        <v>2</v>
      </c>
      <c r="L130" s="5"/>
      <c r="M130" s="5"/>
      <c r="N130">
        <v>96</v>
      </c>
    </row>
    <row r="131" spans="1:14" x14ac:dyDescent="0.25">
      <c r="A131" t="s">
        <v>141</v>
      </c>
      <c r="B131">
        <f t="shared" si="6"/>
        <v>53</v>
      </c>
      <c r="C131" t="str">
        <f t="shared" si="7"/>
        <v>04</v>
      </c>
      <c r="D131" t="str">
        <f t="shared" si="8"/>
        <v>A</v>
      </c>
      <c r="K131" s="3"/>
      <c r="L131" s="3"/>
      <c r="M131" s="3"/>
      <c r="N131">
        <v>97</v>
      </c>
    </row>
    <row r="132" spans="1:14" x14ac:dyDescent="0.25">
      <c r="A132" t="s">
        <v>142</v>
      </c>
      <c r="B132">
        <f t="shared" si="6"/>
        <v>58</v>
      </c>
      <c r="C132" t="str">
        <f t="shared" si="7"/>
        <v>04</v>
      </c>
      <c r="D132" t="str">
        <f t="shared" si="8"/>
        <v>A</v>
      </c>
      <c r="K132" s="3"/>
      <c r="L132" s="3"/>
      <c r="M132" s="3"/>
      <c r="N132">
        <v>84</v>
      </c>
    </row>
    <row r="133" spans="1:14" x14ac:dyDescent="0.25">
      <c r="A133" t="s">
        <v>143</v>
      </c>
      <c r="B133">
        <f t="shared" si="6"/>
        <v>58</v>
      </c>
      <c r="C133" t="str">
        <f t="shared" si="7"/>
        <v>04</v>
      </c>
      <c r="D133" t="str">
        <f t="shared" si="8"/>
        <v>B</v>
      </c>
      <c r="K133" s="3"/>
      <c r="L133" s="3"/>
      <c r="M133" s="3"/>
      <c r="N133">
        <v>84</v>
      </c>
    </row>
    <row r="134" spans="1:14" x14ac:dyDescent="0.25">
      <c r="A134" t="s">
        <v>144</v>
      </c>
      <c r="B134">
        <f t="shared" si="6"/>
        <v>60</v>
      </c>
      <c r="C134" t="str">
        <f t="shared" si="7"/>
        <v>04</v>
      </c>
      <c r="D134" t="str">
        <f t="shared" si="8"/>
        <v>A</v>
      </c>
      <c r="K134" s="3"/>
      <c r="L134" s="3"/>
      <c r="M134" s="3"/>
      <c r="N134">
        <v>92</v>
      </c>
    </row>
    <row r="135" spans="1:14" x14ac:dyDescent="0.25">
      <c r="A135" t="s">
        <v>145</v>
      </c>
      <c r="B135">
        <f t="shared" si="6"/>
        <v>62</v>
      </c>
      <c r="C135" t="str">
        <f t="shared" si="7"/>
        <v>04</v>
      </c>
      <c r="D135" t="str">
        <f t="shared" si="8"/>
        <v>A</v>
      </c>
      <c r="K135" s="3"/>
      <c r="L135" s="3"/>
      <c r="M135" s="3"/>
      <c r="N135">
        <v>27</v>
      </c>
    </row>
    <row r="136" spans="1:14" x14ac:dyDescent="0.25">
      <c r="A136" t="s">
        <v>146</v>
      </c>
      <c r="B136">
        <f t="shared" si="6"/>
        <v>65</v>
      </c>
      <c r="C136" t="str">
        <f t="shared" si="7"/>
        <v>04</v>
      </c>
      <c r="D136" t="str">
        <f t="shared" si="8"/>
        <v>A</v>
      </c>
      <c r="K136" s="3"/>
      <c r="L136" s="3"/>
      <c r="M136" s="3"/>
      <c r="N136">
        <v>3</v>
      </c>
    </row>
    <row r="137" spans="1:14" x14ac:dyDescent="0.25">
      <c r="A137" t="s">
        <v>147</v>
      </c>
      <c r="B137">
        <f t="shared" si="6"/>
        <v>69</v>
      </c>
      <c r="C137" t="str">
        <f t="shared" si="7"/>
        <v>04</v>
      </c>
      <c r="D137" t="str">
        <f t="shared" si="8"/>
        <v>A</v>
      </c>
      <c r="K137" s="3"/>
      <c r="L137" s="3"/>
      <c r="M137" s="3"/>
      <c r="N137">
        <v>36</v>
      </c>
    </row>
    <row r="138" spans="1:14" x14ac:dyDescent="0.25">
      <c r="A138" t="s">
        <v>246</v>
      </c>
      <c r="B138">
        <f t="shared" si="6"/>
        <v>70</v>
      </c>
      <c r="C138" t="str">
        <f t="shared" si="7"/>
        <v>04</v>
      </c>
      <c r="D138" t="str">
        <f t="shared" si="8"/>
        <v>A</v>
      </c>
      <c r="K138" s="3"/>
      <c r="L138" s="3"/>
      <c r="M138" s="3"/>
      <c r="N138">
        <v>0</v>
      </c>
    </row>
    <row r="139" spans="1:14" x14ac:dyDescent="0.25">
      <c r="A139" t="s">
        <v>148</v>
      </c>
      <c r="B139">
        <f t="shared" si="6"/>
        <v>71</v>
      </c>
      <c r="C139" t="str">
        <f t="shared" si="7"/>
        <v>04</v>
      </c>
      <c r="D139" t="str">
        <f t="shared" si="8"/>
        <v>A</v>
      </c>
      <c r="K139" s="3"/>
      <c r="L139" s="3"/>
      <c r="M139" s="3"/>
      <c r="N139">
        <v>44</v>
      </c>
    </row>
    <row r="140" spans="1:14" x14ac:dyDescent="0.25">
      <c r="A140" t="s">
        <v>149</v>
      </c>
      <c r="B140">
        <f t="shared" si="6"/>
        <v>75</v>
      </c>
      <c r="C140" t="str">
        <f t="shared" si="7"/>
        <v>04</v>
      </c>
      <c r="D140" t="str">
        <f t="shared" si="8"/>
        <v>A</v>
      </c>
      <c r="K140" s="3"/>
      <c r="L140" s="3"/>
      <c r="M140" s="3"/>
      <c r="N140">
        <v>22</v>
      </c>
    </row>
    <row r="141" spans="1:14" x14ac:dyDescent="0.25">
      <c r="A141" t="s">
        <v>150</v>
      </c>
      <c r="B141">
        <f t="shared" si="6"/>
        <v>77</v>
      </c>
      <c r="C141" t="str">
        <f t="shared" si="7"/>
        <v>04</v>
      </c>
      <c r="D141" t="str">
        <f t="shared" si="8"/>
        <v>A</v>
      </c>
      <c r="K141" s="3"/>
      <c r="L141" s="3"/>
      <c r="M141" s="3"/>
      <c r="N141">
        <v>13</v>
      </c>
    </row>
    <row r="142" spans="1:14" x14ac:dyDescent="0.25">
      <c r="A142" t="s">
        <v>151</v>
      </c>
      <c r="B142">
        <f t="shared" si="6"/>
        <v>77</v>
      </c>
      <c r="C142" t="str">
        <f t="shared" si="7"/>
        <v>04</v>
      </c>
      <c r="D142" t="str">
        <f t="shared" si="8"/>
        <v>B</v>
      </c>
      <c r="K142" s="3"/>
      <c r="L142" s="3"/>
      <c r="M142" s="3"/>
      <c r="N142">
        <v>1</v>
      </c>
    </row>
    <row r="143" spans="1:14" x14ac:dyDescent="0.25">
      <c r="A143" t="s">
        <v>152</v>
      </c>
      <c r="B143">
        <f t="shared" si="6"/>
        <v>79</v>
      </c>
      <c r="C143" t="str">
        <f t="shared" si="7"/>
        <v>04</v>
      </c>
      <c r="D143" t="str">
        <f t="shared" si="8"/>
        <v>A</v>
      </c>
      <c r="K143" s="3"/>
      <c r="L143" s="3"/>
      <c r="M143" s="3"/>
      <c r="N143">
        <v>19</v>
      </c>
    </row>
    <row r="144" spans="1:14" x14ac:dyDescent="0.25">
      <c r="A144" t="s">
        <v>153</v>
      </c>
      <c r="B144">
        <f t="shared" si="6"/>
        <v>80</v>
      </c>
      <c r="C144" t="str">
        <f t="shared" si="7"/>
        <v>04</v>
      </c>
      <c r="D144" t="str">
        <f t="shared" si="8"/>
        <v>A</v>
      </c>
      <c r="K144" s="3"/>
      <c r="L144" s="3"/>
      <c r="M144" s="3"/>
      <c r="N144">
        <v>12</v>
      </c>
    </row>
    <row r="145" spans="1:14" x14ac:dyDescent="0.25">
      <c r="A145" t="s">
        <v>33</v>
      </c>
      <c r="B145">
        <f t="shared" si="6"/>
        <v>1</v>
      </c>
      <c r="C145" t="str">
        <f t="shared" si="7"/>
        <v>05</v>
      </c>
      <c r="D145" t="str">
        <f t="shared" si="8"/>
        <v>A</v>
      </c>
      <c r="E145">
        <v>401</v>
      </c>
      <c r="F145">
        <v>98</v>
      </c>
      <c r="G145" s="4">
        <v>1</v>
      </c>
      <c r="H145" s="5"/>
      <c r="I145" s="5"/>
      <c r="N145">
        <v>6</v>
      </c>
    </row>
    <row r="146" spans="1:14" x14ac:dyDescent="0.25">
      <c r="A146" t="s">
        <v>34</v>
      </c>
      <c r="B146">
        <f t="shared" si="6"/>
        <v>2</v>
      </c>
      <c r="C146" t="str">
        <f t="shared" si="7"/>
        <v>05</v>
      </c>
      <c r="D146" t="str">
        <f t="shared" si="8"/>
        <v>A</v>
      </c>
      <c r="E146">
        <v>164</v>
      </c>
      <c r="F146">
        <v>31</v>
      </c>
      <c r="G146" s="4">
        <v>0</v>
      </c>
      <c r="H146" s="5"/>
      <c r="I146" s="5"/>
      <c r="N146">
        <v>13</v>
      </c>
    </row>
    <row r="147" spans="1:14" x14ac:dyDescent="0.25">
      <c r="A147" t="s">
        <v>35</v>
      </c>
      <c r="B147">
        <f t="shared" si="6"/>
        <v>3</v>
      </c>
      <c r="C147" t="str">
        <f t="shared" si="7"/>
        <v>05</v>
      </c>
      <c r="D147" t="str">
        <f t="shared" si="8"/>
        <v>A</v>
      </c>
      <c r="E147">
        <v>92</v>
      </c>
      <c r="F147">
        <v>22</v>
      </c>
      <c r="G147" s="4">
        <v>0</v>
      </c>
      <c r="H147" s="5"/>
      <c r="I147" s="5"/>
      <c r="N147">
        <v>34</v>
      </c>
    </row>
    <row r="148" spans="1:14" x14ac:dyDescent="0.25">
      <c r="A148" t="s">
        <v>36</v>
      </c>
      <c r="B148">
        <f t="shared" si="6"/>
        <v>3</v>
      </c>
      <c r="C148" t="str">
        <f t="shared" si="7"/>
        <v>05</v>
      </c>
      <c r="D148" t="str">
        <f t="shared" si="8"/>
        <v>A</v>
      </c>
      <c r="E148">
        <v>161</v>
      </c>
      <c r="F148">
        <v>0</v>
      </c>
      <c r="G148" s="4">
        <v>0</v>
      </c>
      <c r="H148" s="5"/>
      <c r="I148" s="5"/>
      <c r="N148">
        <v>74</v>
      </c>
    </row>
    <row r="149" spans="1:14" x14ac:dyDescent="0.25">
      <c r="A149" t="s">
        <v>37</v>
      </c>
      <c r="B149">
        <f t="shared" si="6"/>
        <v>5</v>
      </c>
      <c r="C149" t="str">
        <f t="shared" si="7"/>
        <v>05</v>
      </c>
      <c r="D149" t="str">
        <f t="shared" si="8"/>
        <v>A</v>
      </c>
      <c r="E149">
        <v>727</v>
      </c>
      <c r="F149">
        <v>258</v>
      </c>
      <c r="G149" s="4">
        <v>1</v>
      </c>
      <c r="H149" s="5"/>
      <c r="I149" s="5"/>
      <c r="N149">
        <v>586</v>
      </c>
    </row>
    <row r="150" spans="1:14" x14ac:dyDescent="0.25">
      <c r="A150" t="s">
        <v>38</v>
      </c>
      <c r="B150">
        <f t="shared" si="6"/>
        <v>5</v>
      </c>
      <c r="C150" t="str">
        <f t="shared" si="7"/>
        <v>05</v>
      </c>
      <c r="D150" t="str">
        <f t="shared" si="8"/>
        <v>A</v>
      </c>
      <c r="E150">
        <v>177</v>
      </c>
      <c r="F150">
        <v>137</v>
      </c>
      <c r="G150" s="4">
        <v>0</v>
      </c>
      <c r="H150" s="5"/>
      <c r="I150" s="5"/>
      <c r="N150">
        <v>106</v>
      </c>
    </row>
    <row r="151" spans="1:14" x14ac:dyDescent="0.25">
      <c r="A151" t="s">
        <v>39</v>
      </c>
      <c r="B151">
        <f t="shared" si="6"/>
        <v>8</v>
      </c>
      <c r="C151" t="str">
        <f t="shared" si="7"/>
        <v>05</v>
      </c>
      <c r="D151" t="str">
        <f t="shared" si="8"/>
        <v>A</v>
      </c>
      <c r="E151">
        <v>1004</v>
      </c>
      <c r="F151">
        <v>619</v>
      </c>
      <c r="G151" s="4">
        <v>2</v>
      </c>
      <c r="H151" s="5"/>
      <c r="I151" s="5"/>
      <c r="N151">
        <v>489</v>
      </c>
    </row>
    <row r="152" spans="1:14" x14ac:dyDescent="0.25">
      <c r="A152" t="s">
        <v>40</v>
      </c>
      <c r="B152">
        <f t="shared" si="6"/>
        <v>8</v>
      </c>
      <c r="C152" t="str">
        <f t="shared" si="7"/>
        <v>05</v>
      </c>
      <c r="D152" t="str">
        <f t="shared" si="8"/>
        <v>A</v>
      </c>
      <c r="E152">
        <v>259</v>
      </c>
      <c r="F152">
        <v>0</v>
      </c>
      <c r="G152" s="4">
        <v>0</v>
      </c>
      <c r="H152" s="5"/>
      <c r="I152" s="5"/>
      <c r="N152">
        <v>218</v>
      </c>
    </row>
    <row r="153" spans="1:14" x14ac:dyDescent="0.25">
      <c r="A153" t="s">
        <v>41</v>
      </c>
      <c r="B153">
        <f t="shared" si="6"/>
        <v>11</v>
      </c>
      <c r="C153" t="str">
        <f t="shared" si="7"/>
        <v>05</v>
      </c>
      <c r="D153" t="str">
        <f t="shared" si="8"/>
        <v>A</v>
      </c>
      <c r="E153">
        <v>1026</v>
      </c>
      <c r="F153">
        <v>483</v>
      </c>
      <c r="G153" s="4">
        <v>2</v>
      </c>
      <c r="H153" s="5"/>
      <c r="I153" s="5"/>
      <c r="N153">
        <v>401</v>
      </c>
    </row>
    <row r="154" spans="1:14" x14ac:dyDescent="0.25">
      <c r="A154" t="s">
        <v>42</v>
      </c>
      <c r="B154">
        <f t="shared" si="6"/>
        <v>11</v>
      </c>
      <c r="C154" t="str">
        <f t="shared" si="7"/>
        <v>05</v>
      </c>
      <c r="D154" t="str">
        <f t="shared" si="8"/>
        <v>A</v>
      </c>
      <c r="E154">
        <v>591</v>
      </c>
      <c r="F154">
        <v>385</v>
      </c>
      <c r="G154" s="4">
        <v>2</v>
      </c>
      <c r="H154" s="5"/>
      <c r="I154" s="5"/>
      <c r="N154">
        <v>241</v>
      </c>
    </row>
    <row r="155" spans="1:14" x14ac:dyDescent="0.25">
      <c r="A155" t="s">
        <v>43</v>
      </c>
      <c r="B155">
        <f t="shared" si="6"/>
        <v>14</v>
      </c>
      <c r="C155" t="str">
        <f t="shared" si="7"/>
        <v>05</v>
      </c>
      <c r="D155" t="str">
        <f t="shared" si="8"/>
        <v>A</v>
      </c>
      <c r="E155">
        <v>602</v>
      </c>
      <c r="F155">
        <v>427</v>
      </c>
      <c r="G155" s="4">
        <v>2</v>
      </c>
      <c r="H155" s="5"/>
      <c r="I155" s="5"/>
      <c r="N155">
        <v>377</v>
      </c>
    </row>
    <row r="156" spans="1:14" x14ac:dyDescent="0.25">
      <c r="A156" t="s">
        <v>44</v>
      </c>
      <c r="B156">
        <f t="shared" si="6"/>
        <v>14</v>
      </c>
      <c r="C156" t="str">
        <f t="shared" si="7"/>
        <v>05</v>
      </c>
      <c r="D156" t="str">
        <f t="shared" si="8"/>
        <v>A</v>
      </c>
      <c r="E156">
        <v>390</v>
      </c>
      <c r="F156">
        <v>296</v>
      </c>
      <c r="G156" s="4">
        <v>1</v>
      </c>
      <c r="H156" s="5"/>
      <c r="I156" s="5"/>
      <c r="J156">
        <v>150</v>
      </c>
      <c r="K156">
        <v>0</v>
      </c>
      <c r="N156">
        <v>233</v>
      </c>
    </row>
    <row r="157" spans="1:14" x14ac:dyDescent="0.25">
      <c r="A157" t="s">
        <v>45</v>
      </c>
      <c r="B157">
        <f t="shared" si="6"/>
        <v>17</v>
      </c>
      <c r="C157" t="str">
        <f t="shared" si="7"/>
        <v>05</v>
      </c>
      <c r="D157" t="str">
        <f t="shared" si="8"/>
        <v>A</v>
      </c>
      <c r="E157">
        <v>1066</v>
      </c>
      <c r="F157">
        <v>507</v>
      </c>
      <c r="G157" s="4">
        <v>1</v>
      </c>
      <c r="H157" s="5"/>
      <c r="I157" s="5"/>
      <c r="N157">
        <v>69</v>
      </c>
    </row>
    <row r="158" spans="1:14" x14ac:dyDescent="0.25">
      <c r="A158" t="s">
        <v>46</v>
      </c>
      <c r="B158">
        <f t="shared" si="6"/>
        <v>17</v>
      </c>
      <c r="C158" t="str">
        <f t="shared" si="7"/>
        <v>05</v>
      </c>
      <c r="D158" t="str">
        <f t="shared" si="8"/>
        <v>A</v>
      </c>
      <c r="E158">
        <v>483</v>
      </c>
      <c r="F158">
        <v>359</v>
      </c>
      <c r="G158" s="4">
        <v>1</v>
      </c>
      <c r="H158" s="5"/>
      <c r="I158" s="5"/>
      <c r="N158">
        <v>178</v>
      </c>
    </row>
    <row r="159" spans="1:14" x14ac:dyDescent="0.25">
      <c r="A159" t="s">
        <v>154</v>
      </c>
      <c r="B159">
        <f t="shared" si="6"/>
        <v>24</v>
      </c>
      <c r="C159" t="str">
        <f t="shared" si="7"/>
        <v>05</v>
      </c>
      <c r="D159" t="str">
        <f t="shared" si="8"/>
        <v>A</v>
      </c>
      <c r="J159">
        <v>85</v>
      </c>
      <c r="K159" s="4">
        <v>2</v>
      </c>
      <c r="L159" s="5"/>
      <c r="M159" s="5"/>
      <c r="N159">
        <v>246</v>
      </c>
    </row>
    <row r="160" spans="1:14" x14ac:dyDescent="0.25">
      <c r="A160" t="s">
        <v>279</v>
      </c>
      <c r="B160">
        <f t="shared" si="6"/>
        <v>24</v>
      </c>
      <c r="C160" t="str">
        <f t="shared" si="7"/>
        <v>05</v>
      </c>
      <c r="D160" t="str">
        <f t="shared" si="8"/>
        <v>B</v>
      </c>
      <c r="J160">
        <v>63</v>
      </c>
      <c r="K160" s="4">
        <v>2</v>
      </c>
      <c r="L160" s="5"/>
      <c r="M160" s="5"/>
    </row>
    <row r="161" spans="1:14" x14ac:dyDescent="0.25">
      <c r="A161" t="s">
        <v>155</v>
      </c>
      <c r="B161">
        <f t="shared" si="6"/>
        <v>24</v>
      </c>
      <c r="C161" t="str">
        <f t="shared" si="7"/>
        <v>05</v>
      </c>
      <c r="D161" t="str">
        <f t="shared" si="8"/>
        <v>A</v>
      </c>
      <c r="J161">
        <v>169</v>
      </c>
      <c r="K161" s="4">
        <v>2</v>
      </c>
      <c r="L161" s="5"/>
      <c r="M161" s="5"/>
      <c r="N161">
        <v>290</v>
      </c>
    </row>
    <row r="162" spans="1:14" x14ac:dyDescent="0.25">
      <c r="A162" t="s">
        <v>280</v>
      </c>
      <c r="B162">
        <f t="shared" si="6"/>
        <v>24</v>
      </c>
      <c r="C162" t="str">
        <f t="shared" si="7"/>
        <v>05</v>
      </c>
      <c r="D162" t="str">
        <f t="shared" si="8"/>
        <v>B</v>
      </c>
      <c r="J162">
        <v>150</v>
      </c>
      <c r="K162" s="4">
        <v>2</v>
      </c>
      <c r="L162" s="5"/>
      <c r="M162" s="5"/>
    </row>
    <row r="163" spans="1:14" x14ac:dyDescent="0.25">
      <c r="A163" t="s">
        <v>156</v>
      </c>
      <c r="B163">
        <f t="shared" si="6"/>
        <v>31</v>
      </c>
      <c r="C163" t="str">
        <f t="shared" si="7"/>
        <v>05</v>
      </c>
      <c r="D163" t="str">
        <f t="shared" si="8"/>
        <v>A</v>
      </c>
      <c r="J163">
        <v>332</v>
      </c>
      <c r="K163" s="4">
        <v>1</v>
      </c>
      <c r="L163" s="5"/>
      <c r="M163" s="5"/>
      <c r="N163">
        <v>206</v>
      </c>
    </row>
    <row r="164" spans="1:14" x14ac:dyDescent="0.25">
      <c r="A164" t="s">
        <v>281</v>
      </c>
      <c r="B164">
        <f t="shared" si="6"/>
        <v>31</v>
      </c>
      <c r="C164" t="str">
        <f t="shared" si="7"/>
        <v>05</v>
      </c>
      <c r="D164" t="str">
        <f t="shared" si="8"/>
        <v>B</v>
      </c>
      <c r="J164">
        <v>395</v>
      </c>
      <c r="K164" s="4">
        <v>2</v>
      </c>
      <c r="L164" s="5"/>
      <c r="M164" s="5"/>
    </row>
    <row r="165" spans="1:14" x14ac:dyDescent="0.25">
      <c r="A165" t="s">
        <v>157</v>
      </c>
      <c r="B165">
        <f t="shared" si="6"/>
        <v>31</v>
      </c>
      <c r="C165" t="str">
        <f t="shared" si="7"/>
        <v>05</v>
      </c>
      <c r="D165" t="str">
        <f t="shared" si="8"/>
        <v>A</v>
      </c>
      <c r="J165">
        <v>86</v>
      </c>
      <c r="K165" s="4">
        <v>2</v>
      </c>
      <c r="L165" s="5"/>
      <c r="M165" s="5"/>
      <c r="N165">
        <v>108</v>
      </c>
    </row>
    <row r="166" spans="1:14" x14ac:dyDescent="0.25">
      <c r="A166" t="s">
        <v>282</v>
      </c>
      <c r="B166">
        <f t="shared" si="6"/>
        <v>31</v>
      </c>
      <c r="C166" t="str">
        <f t="shared" si="7"/>
        <v>05</v>
      </c>
      <c r="D166" t="str">
        <f t="shared" si="8"/>
        <v>B</v>
      </c>
      <c r="J166">
        <v>223</v>
      </c>
      <c r="K166" s="4">
        <v>2</v>
      </c>
      <c r="L166" s="5"/>
      <c r="M166" s="5"/>
    </row>
    <row r="167" spans="1:14" x14ac:dyDescent="0.25">
      <c r="A167" t="s">
        <v>158</v>
      </c>
      <c r="B167">
        <f t="shared" si="6"/>
        <v>40</v>
      </c>
      <c r="C167" t="str">
        <f t="shared" si="7"/>
        <v>05</v>
      </c>
      <c r="D167" t="str">
        <f t="shared" si="8"/>
        <v>A</v>
      </c>
      <c r="J167">
        <v>429</v>
      </c>
      <c r="K167" s="4">
        <v>2</v>
      </c>
      <c r="L167" s="5"/>
      <c r="M167" s="5"/>
      <c r="N167">
        <v>333</v>
      </c>
    </row>
    <row r="168" spans="1:14" x14ac:dyDescent="0.25">
      <c r="A168" t="s">
        <v>283</v>
      </c>
      <c r="B168">
        <f t="shared" si="6"/>
        <v>40</v>
      </c>
      <c r="C168" t="str">
        <f t="shared" si="7"/>
        <v>05</v>
      </c>
      <c r="D168" t="str">
        <f t="shared" si="8"/>
        <v>B</v>
      </c>
      <c r="J168">
        <v>288</v>
      </c>
      <c r="K168" s="4">
        <v>2</v>
      </c>
      <c r="L168" s="5"/>
      <c r="M168" s="5"/>
    </row>
    <row r="169" spans="1:14" x14ac:dyDescent="0.25">
      <c r="A169" t="s">
        <v>245</v>
      </c>
      <c r="B169">
        <f t="shared" si="6"/>
        <v>40</v>
      </c>
      <c r="C169" t="str">
        <f t="shared" si="7"/>
        <v>05</v>
      </c>
      <c r="D169" t="str">
        <f t="shared" si="8"/>
        <v>A</v>
      </c>
      <c r="J169">
        <v>292</v>
      </c>
      <c r="K169" s="4">
        <v>2</v>
      </c>
      <c r="L169" s="5"/>
      <c r="M169" s="5"/>
      <c r="N169">
        <v>0</v>
      </c>
    </row>
    <row r="170" spans="1:14" x14ac:dyDescent="0.25">
      <c r="A170" t="s">
        <v>284</v>
      </c>
      <c r="B170">
        <f t="shared" si="6"/>
        <v>40</v>
      </c>
      <c r="C170" t="str">
        <f t="shared" si="7"/>
        <v>05</v>
      </c>
      <c r="D170" t="str">
        <f t="shared" si="8"/>
        <v>B</v>
      </c>
      <c r="J170">
        <v>160</v>
      </c>
      <c r="K170" s="4">
        <v>2</v>
      </c>
      <c r="L170" s="5"/>
      <c r="M170" s="5"/>
    </row>
    <row r="171" spans="1:14" x14ac:dyDescent="0.25">
      <c r="A171" t="s">
        <v>159</v>
      </c>
      <c r="B171">
        <f t="shared" si="6"/>
        <v>45</v>
      </c>
      <c r="C171" t="str">
        <f t="shared" si="7"/>
        <v>05</v>
      </c>
      <c r="D171" t="str">
        <f t="shared" si="8"/>
        <v>A</v>
      </c>
      <c r="J171">
        <v>254</v>
      </c>
      <c r="K171" s="4">
        <v>1</v>
      </c>
      <c r="L171" s="5"/>
      <c r="M171" s="5"/>
      <c r="N171">
        <v>91</v>
      </c>
    </row>
    <row r="172" spans="1:14" x14ac:dyDescent="0.25">
      <c r="A172" t="s">
        <v>285</v>
      </c>
      <c r="B172">
        <f t="shared" si="6"/>
        <v>45</v>
      </c>
      <c r="C172" t="str">
        <f t="shared" si="7"/>
        <v>05</v>
      </c>
      <c r="D172" t="str">
        <f t="shared" si="8"/>
        <v>B</v>
      </c>
      <c r="J172">
        <v>213</v>
      </c>
      <c r="K172" s="4">
        <v>2</v>
      </c>
      <c r="L172" s="5"/>
      <c r="M172" s="5"/>
    </row>
    <row r="173" spans="1:14" x14ac:dyDescent="0.25">
      <c r="A173" t="s">
        <v>160</v>
      </c>
      <c r="B173">
        <f t="shared" si="6"/>
        <v>45</v>
      </c>
      <c r="C173" t="str">
        <f t="shared" si="7"/>
        <v>05</v>
      </c>
      <c r="D173" t="str">
        <f t="shared" si="8"/>
        <v>A</v>
      </c>
      <c r="J173">
        <v>60</v>
      </c>
      <c r="K173" s="4">
        <v>2</v>
      </c>
      <c r="L173" s="5"/>
      <c r="M173" s="5"/>
      <c r="N173">
        <v>3</v>
      </c>
    </row>
    <row r="174" spans="1:14" x14ac:dyDescent="0.25">
      <c r="A174" t="s">
        <v>286</v>
      </c>
      <c r="B174">
        <f t="shared" si="6"/>
        <v>45</v>
      </c>
      <c r="C174" t="str">
        <f t="shared" si="7"/>
        <v>05</v>
      </c>
      <c r="D174" t="str">
        <f t="shared" si="8"/>
        <v>B</v>
      </c>
      <c r="J174">
        <v>94</v>
      </c>
      <c r="K174" s="4">
        <v>1</v>
      </c>
      <c r="L174" s="5"/>
      <c r="M174" s="5"/>
    </row>
    <row r="175" spans="1:14" x14ac:dyDescent="0.25">
      <c r="A175" t="s">
        <v>161</v>
      </c>
      <c r="B175">
        <f t="shared" si="6"/>
        <v>52</v>
      </c>
      <c r="C175" t="str">
        <f t="shared" si="7"/>
        <v>05</v>
      </c>
      <c r="D175" t="str">
        <f t="shared" si="8"/>
        <v>A</v>
      </c>
      <c r="J175">
        <v>140</v>
      </c>
      <c r="K175" s="4">
        <v>1</v>
      </c>
      <c r="L175" s="5"/>
      <c r="M175" s="5"/>
      <c r="N175">
        <v>134</v>
      </c>
    </row>
    <row r="176" spans="1:14" x14ac:dyDescent="0.25">
      <c r="A176" t="s">
        <v>287</v>
      </c>
      <c r="B176">
        <f t="shared" si="6"/>
        <v>52</v>
      </c>
      <c r="C176" t="str">
        <f t="shared" si="7"/>
        <v>05</v>
      </c>
      <c r="D176" t="str">
        <f t="shared" si="8"/>
        <v>B</v>
      </c>
      <c r="J176">
        <v>163</v>
      </c>
      <c r="K176" s="4">
        <v>2</v>
      </c>
      <c r="L176" s="5"/>
      <c r="M176" s="5"/>
    </row>
    <row r="177" spans="1:14" x14ac:dyDescent="0.25">
      <c r="A177" t="s">
        <v>162</v>
      </c>
      <c r="B177">
        <f t="shared" si="6"/>
        <v>54</v>
      </c>
      <c r="C177" t="str">
        <f t="shared" si="7"/>
        <v>05</v>
      </c>
      <c r="D177" t="str">
        <f t="shared" si="8"/>
        <v>A</v>
      </c>
      <c r="J177">
        <v>144</v>
      </c>
      <c r="K177" s="4">
        <v>2</v>
      </c>
      <c r="L177" s="5"/>
      <c r="M177" s="5"/>
      <c r="N177">
        <v>28</v>
      </c>
    </row>
    <row r="178" spans="1:14" x14ac:dyDescent="0.25">
      <c r="A178" t="s">
        <v>288</v>
      </c>
      <c r="B178">
        <f t="shared" si="6"/>
        <v>54</v>
      </c>
      <c r="C178" t="str">
        <f t="shared" si="7"/>
        <v>05</v>
      </c>
      <c r="D178" t="str">
        <f t="shared" si="8"/>
        <v>B</v>
      </c>
      <c r="J178">
        <v>97</v>
      </c>
      <c r="K178" s="4">
        <v>2</v>
      </c>
      <c r="L178" s="5"/>
      <c r="M178" s="5"/>
    </row>
    <row r="179" spans="1:14" x14ac:dyDescent="0.25">
      <c r="A179" t="s">
        <v>163</v>
      </c>
      <c r="B179">
        <f t="shared" si="6"/>
        <v>55</v>
      </c>
      <c r="C179" t="str">
        <f t="shared" si="7"/>
        <v>05</v>
      </c>
      <c r="D179" t="str">
        <f t="shared" si="8"/>
        <v>A</v>
      </c>
      <c r="K179" s="3"/>
      <c r="L179" s="3"/>
      <c r="M179" s="3"/>
      <c r="N179">
        <v>43</v>
      </c>
    </row>
    <row r="180" spans="1:14" x14ac:dyDescent="0.25">
      <c r="A180" t="s">
        <v>164</v>
      </c>
      <c r="B180">
        <f t="shared" si="6"/>
        <v>61</v>
      </c>
      <c r="C180" t="str">
        <f t="shared" si="7"/>
        <v>05</v>
      </c>
      <c r="D180" t="str">
        <f t="shared" si="8"/>
        <v>A</v>
      </c>
      <c r="K180" s="3"/>
      <c r="L180" s="3"/>
      <c r="M180" s="3"/>
      <c r="N180">
        <v>825</v>
      </c>
    </row>
    <row r="181" spans="1:14" x14ac:dyDescent="0.25">
      <c r="A181" t="s">
        <v>165</v>
      </c>
      <c r="B181">
        <f t="shared" si="6"/>
        <v>61</v>
      </c>
      <c r="C181" t="str">
        <f t="shared" si="7"/>
        <v>05</v>
      </c>
      <c r="D181" t="str">
        <f t="shared" si="8"/>
        <v>B</v>
      </c>
      <c r="K181" s="3"/>
      <c r="L181" s="3"/>
      <c r="M181" s="3"/>
      <c r="N181">
        <v>74</v>
      </c>
    </row>
    <row r="182" spans="1:14" x14ac:dyDescent="0.25">
      <c r="A182" t="s">
        <v>166</v>
      </c>
      <c r="B182">
        <f t="shared" si="6"/>
        <v>61</v>
      </c>
      <c r="C182" t="str">
        <f t="shared" si="7"/>
        <v>05</v>
      </c>
      <c r="D182" t="str">
        <f t="shared" si="8"/>
        <v>A</v>
      </c>
      <c r="K182" s="3"/>
      <c r="L182" s="3"/>
      <c r="M182" s="3"/>
      <c r="N182">
        <v>71</v>
      </c>
    </row>
    <row r="183" spans="1:14" x14ac:dyDescent="0.25">
      <c r="A183" t="s">
        <v>167</v>
      </c>
      <c r="B183">
        <f t="shared" si="6"/>
        <v>70</v>
      </c>
      <c r="C183" t="str">
        <f t="shared" si="7"/>
        <v>05</v>
      </c>
      <c r="D183" t="str">
        <f t="shared" si="8"/>
        <v>A</v>
      </c>
      <c r="K183" s="3"/>
      <c r="L183" s="3"/>
      <c r="M183" s="3"/>
      <c r="N183">
        <v>283</v>
      </c>
    </row>
    <row r="184" spans="1:14" x14ac:dyDescent="0.25">
      <c r="A184" t="s">
        <v>168</v>
      </c>
      <c r="B184">
        <f t="shared" si="6"/>
        <v>76</v>
      </c>
      <c r="C184" t="str">
        <f t="shared" si="7"/>
        <v>05</v>
      </c>
      <c r="D184" t="str">
        <f t="shared" si="8"/>
        <v>A</v>
      </c>
      <c r="K184" s="3"/>
      <c r="L184" s="3"/>
      <c r="M184" s="3"/>
      <c r="N184">
        <v>104</v>
      </c>
    </row>
    <row r="185" spans="1:14" x14ac:dyDescent="0.25">
      <c r="A185" t="s">
        <v>169</v>
      </c>
      <c r="B185">
        <f t="shared" si="6"/>
        <v>82</v>
      </c>
      <c r="C185" t="str">
        <f t="shared" si="7"/>
        <v>05</v>
      </c>
      <c r="D185" t="str">
        <f t="shared" si="8"/>
        <v>A</v>
      </c>
      <c r="K185" s="3"/>
      <c r="L185" s="3"/>
      <c r="M185" s="3"/>
      <c r="N185">
        <v>69</v>
      </c>
    </row>
    <row r="186" spans="1:14" x14ac:dyDescent="0.25">
      <c r="A186" t="s">
        <v>170</v>
      </c>
      <c r="B186">
        <f t="shared" si="6"/>
        <v>84</v>
      </c>
      <c r="C186" t="str">
        <f t="shared" si="7"/>
        <v>05</v>
      </c>
      <c r="D186" t="str">
        <f t="shared" si="8"/>
        <v>A</v>
      </c>
      <c r="K186" s="3"/>
      <c r="L186" s="3"/>
      <c r="M186" s="3"/>
      <c r="N186">
        <v>14</v>
      </c>
    </row>
    <row r="187" spans="1:14" x14ac:dyDescent="0.25">
      <c r="A187" t="s">
        <v>171</v>
      </c>
      <c r="B187">
        <f t="shared" si="6"/>
        <v>1</v>
      </c>
      <c r="C187" t="str">
        <f t="shared" si="7"/>
        <v>06</v>
      </c>
      <c r="D187" t="str">
        <f t="shared" si="8"/>
        <v>A</v>
      </c>
      <c r="J187">
        <v>73</v>
      </c>
      <c r="K187" s="4">
        <v>1</v>
      </c>
      <c r="L187" s="5"/>
      <c r="M187" s="5"/>
      <c r="N187">
        <v>67</v>
      </c>
    </row>
    <row r="188" spans="1:14" x14ac:dyDescent="0.25">
      <c r="A188" t="s">
        <v>289</v>
      </c>
      <c r="B188">
        <f t="shared" si="6"/>
        <v>1</v>
      </c>
      <c r="C188" t="str">
        <f t="shared" si="7"/>
        <v>06</v>
      </c>
      <c r="D188" t="str">
        <f t="shared" si="8"/>
        <v>B</v>
      </c>
      <c r="J188">
        <v>59</v>
      </c>
      <c r="K188" s="4">
        <v>0</v>
      </c>
      <c r="L188" s="5"/>
      <c r="M188" s="5"/>
    </row>
    <row r="189" spans="1:14" x14ac:dyDescent="0.25">
      <c r="A189" t="s">
        <v>47</v>
      </c>
      <c r="B189">
        <f t="shared" si="6"/>
        <v>2</v>
      </c>
      <c r="C189" t="str">
        <f t="shared" si="7"/>
        <v>06</v>
      </c>
      <c r="D189" t="str">
        <f t="shared" si="8"/>
        <v>A</v>
      </c>
      <c r="E189">
        <v>213</v>
      </c>
      <c r="F189">
        <v>0</v>
      </c>
      <c r="G189" s="4">
        <v>0</v>
      </c>
      <c r="H189" s="5"/>
      <c r="I189" s="5"/>
      <c r="N189">
        <v>58</v>
      </c>
    </row>
    <row r="190" spans="1:14" x14ac:dyDescent="0.25">
      <c r="A190" t="s">
        <v>48</v>
      </c>
      <c r="B190">
        <f t="shared" si="6"/>
        <v>2</v>
      </c>
      <c r="C190" t="str">
        <f t="shared" si="7"/>
        <v>06</v>
      </c>
      <c r="D190" t="str">
        <f t="shared" si="8"/>
        <v>A</v>
      </c>
      <c r="E190">
        <v>96</v>
      </c>
      <c r="F190">
        <v>0</v>
      </c>
      <c r="G190" s="4">
        <v>0</v>
      </c>
      <c r="H190" s="5"/>
      <c r="I190" s="5"/>
    </row>
    <row r="191" spans="1:14" x14ac:dyDescent="0.25">
      <c r="A191" t="s">
        <v>49</v>
      </c>
      <c r="B191">
        <f t="shared" si="6"/>
        <v>3</v>
      </c>
      <c r="C191" t="str">
        <f t="shared" si="7"/>
        <v>06</v>
      </c>
      <c r="D191" t="str">
        <f t="shared" si="8"/>
        <v>A</v>
      </c>
      <c r="E191">
        <v>153</v>
      </c>
      <c r="F191">
        <v>48</v>
      </c>
      <c r="G191" s="4">
        <v>0</v>
      </c>
      <c r="H191" s="5"/>
      <c r="I191" s="5"/>
      <c r="N191">
        <v>57</v>
      </c>
    </row>
    <row r="192" spans="1:14" x14ac:dyDescent="0.25">
      <c r="A192" t="s">
        <v>50</v>
      </c>
      <c r="B192">
        <f t="shared" si="6"/>
        <v>3</v>
      </c>
      <c r="C192" t="str">
        <f t="shared" si="7"/>
        <v>06</v>
      </c>
      <c r="D192" t="str">
        <f t="shared" si="8"/>
        <v>A</v>
      </c>
      <c r="E192">
        <v>34</v>
      </c>
      <c r="F192">
        <v>61</v>
      </c>
      <c r="G192" s="4">
        <v>0</v>
      </c>
      <c r="H192" s="5"/>
      <c r="I192" s="5"/>
      <c r="J192">
        <v>0</v>
      </c>
      <c r="K192">
        <v>0</v>
      </c>
      <c r="N192">
        <v>115</v>
      </c>
    </row>
    <row r="193" spans="1:14" x14ac:dyDescent="0.25">
      <c r="A193" t="s">
        <v>331</v>
      </c>
      <c r="B193">
        <f t="shared" si="6"/>
        <v>3</v>
      </c>
      <c r="C193" t="str">
        <f t="shared" si="7"/>
        <v>06</v>
      </c>
      <c r="D193" t="str">
        <f t="shared" si="8"/>
        <v>B</v>
      </c>
      <c r="J193">
        <v>0</v>
      </c>
      <c r="K193" s="4">
        <v>0</v>
      </c>
      <c r="L193" s="5"/>
      <c r="M193" s="5"/>
    </row>
    <row r="194" spans="1:14" x14ac:dyDescent="0.25">
      <c r="A194" t="s">
        <v>51</v>
      </c>
      <c r="B194">
        <f t="shared" ref="B194:B257" si="9">MID(A194,4,2)+0</f>
        <v>5</v>
      </c>
      <c r="C194" t="str">
        <f t="shared" ref="C194:C257" si="10">LEFT(A194,2)</f>
        <v>06</v>
      </c>
      <c r="D194" t="str">
        <f t="shared" ref="D194:D257" si="11">RIGHT(A194)</f>
        <v>A</v>
      </c>
      <c r="E194">
        <v>40</v>
      </c>
      <c r="F194">
        <v>6</v>
      </c>
      <c r="G194" s="4">
        <v>0</v>
      </c>
      <c r="H194" s="5"/>
      <c r="I194" s="5"/>
      <c r="N194">
        <v>145</v>
      </c>
    </row>
    <row r="195" spans="1:14" x14ac:dyDescent="0.25">
      <c r="A195" t="s">
        <v>52</v>
      </c>
      <c r="B195">
        <f t="shared" si="9"/>
        <v>5</v>
      </c>
      <c r="C195" t="str">
        <f t="shared" si="10"/>
        <v>06</v>
      </c>
      <c r="D195" t="str">
        <f t="shared" si="11"/>
        <v>A</v>
      </c>
      <c r="E195">
        <v>341</v>
      </c>
      <c r="F195">
        <v>331</v>
      </c>
      <c r="G195" s="4">
        <v>2</v>
      </c>
      <c r="H195" s="5"/>
      <c r="I195" s="5"/>
      <c r="J195">
        <v>0</v>
      </c>
      <c r="K195">
        <v>0</v>
      </c>
      <c r="N195">
        <v>55</v>
      </c>
    </row>
    <row r="196" spans="1:14" x14ac:dyDescent="0.25">
      <c r="A196" t="s">
        <v>332</v>
      </c>
      <c r="B196">
        <f t="shared" si="9"/>
        <v>5</v>
      </c>
      <c r="C196" t="str">
        <f t="shared" si="10"/>
        <v>06</v>
      </c>
      <c r="D196" t="str">
        <f t="shared" si="11"/>
        <v>B</v>
      </c>
      <c r="J196">
        <v>0</v>
      </c>
      <c r="K196" s="4">
        <v>2</v>
      </c>
      <c r="L196" s="5"/>
      <c r="M196" s="5"/>
    </row>
    <row r="197" spans="1:14" x14ac:dyDescent="0.25">
      <c r="A197" t="s">
        <v>53</v>
      </c>
      <c r="B197">
        <f t="shared" si="9"/>
        <v>8</v>
      </c>
      <c r="C197" t="str">
        <f t="shared" si="10"/>
        <v>06</v>
      </c>
      <c r="D197" t="str">
        <f t="shared" si="11"/>
        <v>A</v>
      </c>
      <c r="E197">
        <v>151</v>
      </c>
      <c r="F197">
        <v>55</v>
      </c>
      <c r="G197" s="4">
        <v>0</v>
      </c>
      <c r="H197" s="5"/>
      <c r="I197" s="5"/>
      <c r="J197">
        <v>93</v>
      </c>
      <c r="K197">
        <v>0</v>
      </c>
      <c r="N197">
        <v>540</v>
      </c>
    </row>
    <row r="198" spans="1:14" x14ac:dyDescent="0.25">
      <c r="A198" t="s">
        <v>54</v>
      </c>
      <c r="B198">
        <f t="shared" si="9"/>
        <v>8</v>
      </c>
      <c r="C198" t="str">
        <f t="shared" si="10"/>
        <v>06</v>
      </c>
      <c r="D198" t="str">
        <f t="shared" si="11"/>
        <v>A</v>
      </c>
      <c r="E198">
        <v>174</v>
      </c>
      <c r="F198">
        <v>36</v>
      </c>
      <c r="G198" s="4">
        <v>0</v>
      </c>
      <c r="H198" s="5"/>
      <c r="I198" s="5"/>
      <c r="J198">
        <v>0</v>
      </c>
      <c r="K198">
        <v>0</v>
      </c>
      <c r="N198">
        <v>316</v>
      </c>
    </row>
    <row r="199" spans="1:14" x14ac:dyDescent="0.25">
      <c r="A199" t="s">
        <v>333</v>
      </c>
      <c r="B199">
        <f t="shared" si="9"/>
        <v>8</v>
      </c>
      <c r="C199" t="str">
        <f t="shared" si="10"/>
        <v>06</v>
      </c>
      <c r="D199" t="str">
        <f t="shared" si="11"/>
        <v>B</v>
      </c>
      <c r="J199">
        <v>44</v>
      </c>
      <c r="K199" s="4">
        <v>0</v>
      </c>
      <c r="L199" s="5"/>
      <c r="M199" s="5"/>
    </row>
    <row r="200" spans="1:14" x14ac:dyDescent="0.25">
      <c r="A200" t="s">
        <v>55</v>
      </c>
      <c r="B200">
        <f t="shared" si="9"/>
        <v>11</v>
      </c>
      <c r="C200" t="str">
        <f t="shared" si="10"/>
        <v>06</v>
      </c>
      <c r="D200" t="str">
        <f t="shared" si="11"/>
        <v>A</v>
      </c>
      <c r="E200">
        <v>480</v>
      </c>
      <c r="F200">
        <v>301</v>
      </c>
      <c r="G200" s="4">
        <v>2</v>
      </c>
      <c r="H200" s="5"/>
      <c r="I200" s="5"/>
      <c r="N200">
        <v>206</v>
      </c>
    </row>
    <row r="201" spans="1:14" x14ac:dyDescent="0.25">
      <c r="A201" t="s">
        <v>172</v>
      </c>
      <c r="B201">
        <f t="shared" si="9"/>
        <v>11</v>
      </c>
      <c r="C201" t="str">
        <f t="shared" si="10"/>
        <v>06</v>
      </c>
      <c r="D201" t="str">
        <f t="shared" si="11"/>
        <v>B</v>
      </c>
      <c r="K201" s="3"/>
      <c r="L201" s="3"/>
      <c r="M201" s="3"/>
      <c r="N201">
        <v>266</v>
      </c>
    </row>
    <row r="202" spans="1:14" x14ac:dyDescent="0.25">
      <c r="A202" t="s">
        <v>56</v>
      </c>
      <c r="B202">
        <f t="shared" si="9"/>
        <v>11</v>
      </c>
      <c r="C202" t="str">
        <f t="shared" si="10"/>
        <v>06</v>
      </c>
      <c r="D202" t="str">
        <f t="shared" si="11"/>
        <v>A</v>
      </c>
      <c r="E202">
        <v>273</v>
      </c>
      <c r="G202" s="3"/>
      <c r="H202" s="3"/>
      <c r="I202" s="3"/>
    </row>
    <row r="203" spans="1:14" x14ac:dyDescent="0.25">
      <c r="A203" t="s">
        <v>173</v>
      </c>
      <c r="B203">
        <f t="shared" si="9"/>
        <v>12</v>
      </c>
      <c r="C203" t="str">
        <f t="shared" si="10"/>
        <v>06</v>
      </c>
      <c r="D203" t="str">
        <f t="shared" si="11"/>
        <v>A</v>
      </c>
      <c r="J203">
        <v>56</v>
      </c>
      <c r="K203" s="4">
        <v>1</v>
      </c>
      <c r="L203" s="5"/>
      <c r="M203" s="5"/>
      <c r="N203">
        <v>58</v>
      </c>
    </row>
    <row r="204" spans="1:14" x14ac:dyDescent="0.25">
      <c r="A204" t="s">
        <v>290</v>
      </c>
      <c r="B204">
        <f t="shared" si="9"/>
        <v>12</v>
      </c>
      <c r="C204" t="str">
        <f t="shared" si="10"/>
        <v>06</v>
      </c>
      <c r="D204" t="str">
        <f t="shared" si="11"/>
        <v>B</v>
      </c>
      <c r="J204">
        <v>103</v>
      </c>
      <c r="K204" s="4">
        <v>2</v>
      </c>
      <c r="L204" s="5"/>
      <c r="M204" s="5"/>
    </row>
    <row r="205" spans="1:14" x14ac:dyDescent="0.25">
      <c r="A205" t="s">
        <v>57</v>
      </c>
      <c r="B205">
        <f t="shared" si="9"/>
        <v>14</v>
      </c>
      <c r="C205" t="str">
        <f t="shared" si="10"/>
        <v>06</v>
      </c>
      <c r="D205" t="str">
        <f t="shared" si="11"/>
        <v>A</v>
      </c>
      <c r="E205">
        <v>518</v>
      </c>
      <c r="F205">
        <v>167</v>
      </c>
      <c r="G205" s="4">
        <v>1</v>
      </c>
      <c r="H205" s="5"/>
      <c r="I205" s="5"/>
      <c r="N205">
        <v>209</v>
      </c>
    </row>
    <row r="206" spans="1:14" x14ac:dyDescent="0.25">
      <c r="A206" t="s">
        <v>174</v>
      </c>
      <c r="B206">
        <f t="shared" si="9"/>
        <v>14</v>
      </c>
      <c r="C206" t="str">
        <f t="shared" si="10"/>
        <v>06</v>
      </c>
      <c r="D206" t="str">
        <f t="shared" si="11"/>
        <v>B</v>
      </c>
      <c r="K206" s="3"/>
      <c r="L206" s="3"/>
      <c r="M206" s="3"/>
      <c r="N206">
        <v>100</v>
      </c>
    </row>
    <row r="207" spans="1:14" x14ac:dyDescent="0.25">
      <c r="A207" t="s">
        <v>175</v>
      </c>
      <c r="B207">
        <f t="shared" si="9"/>
        <v>14</v>
      </c>
      <c r="C207" t="str">
        <f t="shared" si="10"/>
        <v>06</v>
      </c>
      <c r="D207" t="str">
        <f t="shared" si="11"/>
        <v>A</v>
      </c>
      <c r="J207">
        <v>160</v>
      </c>
      <c r="K207" s="4">
        <v>0</v>
      </c>
      <c r="L207" s="5"/>
      <c r="M207" s="5"/>
      <c r="N207">
        <v>101</v>
      </c>
    </row>
    <row r="208" spans="1:14" x14ac:dyDescent="0.25">
      <c r="A208" t="s">
        <v>334</v>
      </c>
      <c r="B208">
        <f t="shared" si="9"/>
        <v>14</v>
      </c>
      <c r="C208" t="str">
        <f t="shared" si="10"/>
        <v>06</v>
      </c>
      <c r="D208" t="str">
        <f t="shared" si="11"/>
        <v>B</v>
      </c>
      <c r="J208">
        <v>26</v>
      </c>
      <c r="K208" s="4">
        <v>0</v>
      </c>
      <c r="L208" s="5"/>
      <c r="M208" s="5"/>
    </row>
    <row r="209" spans="1:14" x14ac:dyDescent="0.25">
      <c r="A209" t="s">
        <v>58</v>
      </c>
      <c r="B209">
        <f t="shared" si="9"/>
        <v>17</v>
      </c>
      <c r="C209" t="str">
        <f t="shared" si="10"/>
        <v>06</v>
      </c>
      <c r="D209" t="str">
        <f t="shared" si="11"/>
        <v>A</v>
      </c>
      <c r="E209">
        <v>93</v>
      </c>
      <c r="F209">
        <v>121</v>
      </c>
      <c r="G209" s="4">
        <v>1</v>
      </c>
      <c r="H209" s="5"/>
      <c r="I209" s="5"/>
      <c r="N209">
        <v>219</v>
      </c>
    </row>
    <row r="210" spans="1:14" x14ac:dyDescent="0.25">
      <c r="A210" t="s">
        <v>176</v>
      </c>
      <c r="B210">
        <f t="shared" si="9"/>
        <v>17</v>
      </c>
      <c r="C210" t="str">
        <f t="shared" si="10"/>
        <v>06</v>
      </c>
      <c r="D210" t="str">
        <f t="shared" si="11"/>
        <v>A</v>
      </c>
      <c r="J210">
        <v>99</v>
      </c>
      <c r="K210" s="4">
        <v>2</v>
      </c>
      <c r="L210" s="5"/>
      <c r="M210" s="5"/>
      <c r="N210">
        <v>190</v>
      </c>
    </row>
    <row r="211" spans="1:14" x14ac:dyDescent="0.25">
      <c r="A211" t="s">
        <v>291</v>
      </c>
      <c r="B211">
        <f t="shared" si="9"/>
        <v>17</v>
      </c>
      <c r="C211" t="str">
        <f t="shared" si="10"/>
        <v>06</v>
      </c>
      <c r="D211" t="str">
        <f t="shared" si="11"/>
        <v>B</v>
      </c>
      <c r="J211">
        <v>122</v>
      </c>
      <c r="K211" s="4">
        <v>2</v>
      </c>
      <c r="L211" s="5"/>
      <c r="M211" s="5"/>
    </row>
    <row r="212" spans="1:14" x14ac:dyDescent="0.25">
      <c r="A212" t="s">
        <v>177</v>
      </c>
      <c r="B212">
        <f t="shared" si="9"/>
        <v>24</v>
      </c>
      <c r="C212" t="str">
        <f t="shared" si="10"/>
        <v>06</v>
      </c>
      <c r="D212" t="str">
        <f t="shared" si="11"/>
        <v>A</v>
      </c>
      <c r="J212">
        <v>575</v>
      </c>
      <c r="K212" s="4">
        <v>2</v>
      </c>
      <c r="L212" s="5"/>
      <c r="M212" s="5"/>
      <c r="N212">
        <v>96</v>
      </c>
    </row>
    <row r="213" spans="1:14" x14ac:dyDescent="0.25">
      <c r="A213" t="s">
        <v>335</v>
      </c>
      <c r="B213">
        <f t="shared" si="9"/>
        <v>24</v>
      </c>
      <c r="C213" t="str">
        <f t="shared" si="10"/>
        <v>06</v>
      </c>
      <c r="D213" t="str">
        <f t="shared" si="11"/>
        <v>B</v>
      </c>
      <c r="J213">
        <v>0</v>
      </c>
      <c r="K213" s="4">
        <v>0</v>
      </c>
      <c r="L213" s="5"/>
      <c r="M213" s="5"/>
    </row>
    <row r="214" spans="1:14" x14ac:dyDescent="0.25">
      <c r="A214" t="s">
        <v>178</v>
      </c>
      <c r="B214">
        <f t="shared" si="9"/>
        <v>24</v>
      </c>
      <c r="C214" t="str">
        <f t="shared" si="10"/>
        <v>06</v>
      </c>
      <c r="D214" t="str">
        <f t="shared" si="11"/>
        <v>A</v>
      </c>
      <c r="J214">
        <v>186</v>
      </c>
      <c r="K214" s="4">
        <v>1</v>
      </c>
      <c r="L214" s="5"/>
      <c r="M214" s="5"/>
      <c r="N214">
        <v>23</v>
      </c>
    </row>
    <row r="215" spans="1:14" x14ac:dyDescent="0.25">
      <c r="A215" t="s">
        <v>292</v>
      </c>
      <c r="B215">
        <f t="shared" si="9"/>
        <v>24</v>
      </c>
      <c r="C215" t="str">
        <f t="shared" si="10"/>
        <v>06</v>
      </c>
      <c r="D215" t="str">
        <f t="shared" si="11"/>
        <v>B</v>
      </c>
      <c r="J215">
        <v>187</v>
      </c>
      <c r="K215" s="4">
        <v>1</v>
      </c>
      <c r="L215" s="5"/>
      <c r="M215" s="5"/>
    </row>
    <row r="216" spans="1:14" x14ac:dyDescent="0.25">
      <c r="A216" t="s">
        <v>293</v>
      </c>
      <c r="B216">
        <f t="shared" si="9"/>
        <v>30</v>
      </c>
      <c r="C216" t="str">
        <f t="shared" si="10"/>
        <v>06</v>
      </c>
      <c r="D216" t="str">
        <f t="shared" si="11"/>
        <v>A</v>
      </c>
      <c r="J216">
        <v>292</v>
      </c>
      <c r="K216" s="4">
        <v>1</v>
      </c>
      <c r="L216" s="5"/>
      <c r="M216" s="5"/>
    </row>
    <row r="217" spans="1:14" x14ac:dyDescent="0.25">
      <c r="A217" t="s">
        <v>294</v>
      </c>
      <c r="B217">
        <f t="shared" si="9"/>
        <v>30</v>
      </c>
      <c r="C217" t="str">
        <f t="shared" si="10"/>
        <v>06</v>
      </c>
      <c r="D217" t="str">
        <f t="shared" si="11"/>
        <v>B</v>
      </c>
      <c r="J217">
        <v>162</v>
      </c>
      <c r="K217" s="4">
        <v>1</v>
      </c>
      <c r="L217" s="5"/>
      <c r="M217" s="5"/>
    </row>
    <row r="218" spans="1:14" x14ac:dyDescent="0.25">
      <c r="A218" t="s">
        <v>179</v>
      </c>
      <c r="B218">
        <f t="shared" si="9"/>
        <v>31</v>
      </c>
      <c r="C218" t="str">
        <f t="shared" si="10"/>
        <v>06</v>
      </c>
      <c r="D218" t="str">
        <f t="shared" si="11"/>
        <v>A</v>
      </c>
      <c r="J218">
        <v>167</v>
      </c>
      <c r="K218" s="4">
        <v>2</v>
      </c>
      <c r="L218" s="5"/>
      <c r="M218" s="5"/>
      <c r="N218">
        <v>40</v>
      </c>
    </row>
    <row r="219" spans="1:14" x14ac:dyDescent="0.25">
      <c r="A219" t="s">
        <v>180</v>
      </c>
      <c r="B219">
        <f t="shared" si="9"/>
        <v>35</v>
      </c>
      <c r="C219" t="str">
        <f t="shared" si="10"/>
        <v>06</v>
      </c>
      <c r="D219" t="str">
        <f t="shared" si="11"/>
        <v>A</v>
      </c>
      <c r="J219">
        <v>153</v>
      </c>
      <c r="K219" s="4">
        <v>2</v>
      </c>
      <c r="L219" s="5"/>
      <c r="M219" s="5"/>
      <c r="N219">
        <v>166</v>
      </c>
    </row>
    <row r="220" spans="1:14" x14ac:dyDescent="0.25">
      <c r="A220" t="s">
        <v>295</v>
      </c>
      <c r="B220">
        <f t="shared" si="9"/>
        <v>35</v>
      </c>
      <c r="C220" t="str">
        <f t="shared" si="10"/>
        <v>06</v>
      </c>
      <c r="D220" t="str">
        <f t="shared" si="11"/>
        <v>B</v>
      </c>
      <c r="J220">
        <v>130</v>
      </c>
      <c r="K220" s="4">
        <v>2</v>
      </c>
      <c r="L220" s="5"/>
      <c r="M220" s="5"/>
    </row>
    <row r="221" spans="1:14" x14ac:dyDescent="0.25">
      <c r="A221" t="s">
        <v>181</v>
      </c>
      <c r="B221">
        <f t="shared" si="9"/>
        <v>38</v>
      </c>
      <c r="C221" t="str">
        <f t="shared" si="10"/>
        <v>06</v>
      </c>
      <c r="D221" t="str">
        <f t="shared" si="11"/>
        <v>A</v>
      </c>
      <c r="J221">
        <v>124</v>
      </c>
      <c r="K221" s="4">
        <v>1</v>
      </c>
      <c r="L221" s="5"/>
      <c r="M221" s="5"/>
      <c r="N221">
        <v>152</v>
      </c>
    </row>
    <row r="222" spans="1:14" x14ac:dyDescent="0.25">
      <c r="A222" t="s">
        <v>182</v>
      </c>
      <c r="B222">
        <f t="shared" si="9"/>
        <v>43</v>
      </c>
      <c r="C222" t="str">
        <f t="shared" si="10"/>
        <v>06</v>
      </c>
      <c r="D222" t="str">
        <f t="shared" si="11"/>
        <v>A</v>
      </c>
      <c r="J222">
        <v>105</v>
      </c>
      <c r="K222" s="4">
        <v>2</v>
      </c>
      <c r="L222" s="5"/>
      <c r="M222" s="5"/>
      <c r="N222">
        <v>185</v>
      </c>
    </row>
    <row r="223" spans="1:14" x14ac:dyDescent="0.25">
      <c r="A223" t="s">
        <v>296</v>
      </c>
      <c r="B223">
        <f t="shared" si="9"/>
        <v>43</v>
      </c>
      <c r="C223" t="str">
        <f t="shared" si="10"/>
        <v>06</v>
      </c>
      <c r="D223" t="str">
        <f t="shared" si="11"/>
        <v>B</v>
      </c>
      <c r="J223">
        <v>210</v>
      </c>
      <c r="K223" s="4">
        <v>2</v>
      </c>
      <c r="L223" s="5"/>
      <c r="M223" s="5"/>
    </row>
    <row r="224" spans="1:14" x14ac:dyDescent="0.25">
      <c r="A224" t="s">
        <v>183</v>
      </c>
      <c r="B224">
        <f t="shared" si="9"/>
        <v>45</v>
      </c>
      <c r="C224" t="str">
        <f t="shared" si="10"/>
        <v>06</v>
      </c>
      <c r="D224" t="str">
        <f t="shared" si="11"/>
        <v>A</v>
      </c>
      <c r="J224">
        <v>86</v>
      </c>
      <c r="K224" s="4">
        <v>1</v>
      </c>
      <c r="L224" s="5"/>
      <c r="M224" s="5"/>
      <c r="N224">
        <v>44</v>
      </c>
    </row>
    <row r="225" spans="1:14" x14ac:dyDescent="0.25">
      <c r="A225" t="s">
        <v>184</v>
      </c>
      <c r="B225">
        <f t="shared" si="9"/>
        <v>50</v>
      </c>
      <c r="C225" t="str">
        <f t="shared" si="10"/>
        <v>06</v>
      </c>
      <c r="D225" t="str">
        <f t="shared" si="11"/>
        <v>A</v>
      </c>
      <c r="J225">
        <v>123</v>
      </c>
      <c r="K225" s="4">
        <v>2</v>
      </c>
      <c r="L225" s="5"/>
      <c r="M225" s="5"/>
      <c r="N225">
        <v>50</v>
      </c>
    </row>
    <row r="226" spans="1:14" x14ac:dyDescent="0.25">
      <c r="A226" t="s">
        <v>185</v>
      </c>
      <c r="B226">
        <f t="shared" si="9"/>
        <v>52</v>
      </c>
      <c r="C226" t="str">
        <f t="shared" si="10"/>
        <v>06</v>
      </c>
      <c r="D226" t="str">
        <f t="shared" si="11"/>
        <v>A</v>
      </c>
      <c r="J226">
        <v>134</v>
      </c>
      <c r="K226" s="4">
        <v>2</v>
      </c>
      <c r="L226" s="5"/>
      <c r="M226" s="5"/>
      <c r="N226">
        <v>86</v>
      </c>
    </row>
    <row r="227" spans="1:14" x14ac:dyDescent="0.25">
      <c r="A227" t="s">
        <v>186</v>
      </c>
      <c r="B227">
        <f t="shared" si="9"/>
        <v>65</v>
      </c>
      <c r="C227" t="str">
        <f t="shared" si="10"/>
        <v>06</v>
      </c>
      <c r="D227" t="str">
        <f t="shared" si="11"/>
        <v>A</v>
      </c>
      <c r="K227" s="3"/>
      <c r="L227" s="3"/>
      <c r="M227" s="3"/>
      <c r="N227">
        <v>1</v>
      </c>
    </row>
    <row r="228" spans="1:14" x14ac:dyDescent="0.25">
      <c r="A228" t="s">
        <v>187</v>
      </c>
      <c r="B228">
        <f t="shared" si="9"/>
        <v>65</v>
      </c>
      <c r="C228" t="str">
        <f t="shared" si="10"/>
        <v>06</v>
      </c>
      <c r="D228" t="str">
        <f t="shared" si="11"/>
        <v>A</v>
      </c>
      <c r="K228" s="3"/>
      <c r="L228" s="3"/>
      <c r="M228" s="3"/>
      <c r="N228">
        <v>98</v>
      </c>
    </row>
    <row r="229" spans="1:14" x14ac:dyDescent="0.25">
      <c r="A229" t="s">
        <v>188</v>
      </c>
      <c r="B229">
        <f t="shared" si="9"/>
        <v>65</v>
      </c>
      <c r="C229" t="str">
        <f t="shared" si="10"/>
        <v>06</v>
      </c>
      <c r="D229" t="str">
        <f t="shared" si="11"/>
        <v>B</v>
      </c>
      <c r="K229" s="3"/>
      <c r="L229" s="3"/>
      <c r="M229" s="3"/>
      <c r="N229">
        <v>60</v>
      </c>
    </row>
    <row r="230" spans="1:14" x14ac:dyDescent="0.25">
      <c r="A230" t="s">
        <v>189</v>
      </c>
      <c r="B230">
        <f t="shared" si="9"/>
        <v>72</v>
      </c>
      <c r="C230" t="str">
        <f t="shared" si="10"/>
        <v>06</v>
      </c>
      <c r="D230" t="str">
        <f t="shared" si="11"/>
        <v>A</v>
      </c>
      <c r="K230" s="3"/>
      <c r="L230" s="3"/>
      <c r="M230" s="3"/>
      <c r="N230">
        <v>41</v>
      </c>
    </row>
    <row r="231" spans="1:14" x14ac:dyDescent="0.25">
      <c r="A231" t="s">
        <v>190</v>
      </c>
      <c r="B231">
        <f t="shared" si="9"/>
        <v>74</v>
      </c>
      <c r="C231" t="str">
        <f t="shared" si="10"/>
        <v>06</v>
      </c>
      <c r="D231" t="str">
        <f t="shared" si="11"/>
        <v>A</v>
      </c>
      <c r="K231" s="3"/>
      <c r="L231" s="3"/>
      <c r="M231" s="3"/>
      <c r="N231">
        <v>58</v>
      </c>
    </row>
    <row r="232" spans="1:14" x14ac:dyDescent="0.25">
      <c r="A232" t="s">
        <v>191</v>
      </c>
      <c r="B232">
        <f t="shared" si="9"/>
        <v>75</v>
      </c>
      <c r="C232" t="str">
        <f t="shared" si="10"/>
        <v>06</v>
      </c>
      <c r="D232" t="str">
        <f t="shared" si="11"/>
        <v>A</v>
      </c>
      <c r="K232" s="3"/>
      <c r="L232" s="3"/>
      <c r="M232" s="3"/>
      <c r="N232">
        <v>117</v>
      </c>
    </row>
    <row r="233" spans="1:14" x14ac:dyDescent="0.25">
      <c r="A233" t="s">
        <v>192</v>
      </c>
      <c r="B233">
        <f t="shared" si="9"/>
        <v>80</v>
      </c>
      <c r="C233" t="str">
        <f t="shared" si="10"/>
        <v>06</v>
      </c>
      <c r="D233" t="str">
        <f t="shared" si="11"/>
        <v>A</v>
      </c>
      <c r="K233" s="3"/>
      <c r="L233" s="3"/>
      <c r="M233" s="3"/>
      <c r="N233">
        <v>9</v>
      </c>
    </row>
    <row r="234" spans="1:14" x14ac:dyDescent="0.25">
      <c r="A234" t="s">
        <v>244</v>
      </c>
      <c r="B234">
        <f t="shared" si="9"/>
        <v>80</v>
      </c>
      <c r="C234" t="str">
        <f t="shared" si="10"/>
        <v>06</v>
      </c>
      <c r="D234" t="str">
        <f t="shared" si="11"/>
        <v>A</v>
      </c>
      <c r="K234" s="3"/>
      <c r="L234" s="3"/>
      <c r="M234" s="3"/>
      <c r="N234">
        <v>0</v>
      </c>
    </row>
    <row r="235" spans="1:14" x14ac:dyDescent="0.25">
      <c r="A235" t="s">
        <v>193</v>
      </c>
      <c r="B235">
        <f t="shared" si="9"/>
        <v>82</v>
      </c>
      <c r="C235" t="str">
        <f t="shared" si="10"/>
        <v>06</v>
      </c>
      <c r="D235" t="str">
        <f t="shared" si="11"/>
        <v>A</v>
      </c>
      <c r="K235" s="3"/>
      <c r="L235" s="3"/>
      <c r="M235" s="3"/>
      <c r="N235">
        <v>2</v>
      </c>
    </row>
    <row r="236" spans="1:14" x14ac:dyDescent="0.25">
      <c r="A236" t="s">
        <v>194</v>
      </c>
      <c r="B236">
        <f t="shared" si="9"/>
        <v>2</v>
      </c>
      <c r="C236" t="str">
        <f t="shared" si="10"/>
        <v>07</v>
      </c>
      <c r="D236" t="str">
        <f t="shared" si="11"/>
        <v>A</v>
      </c>
      <c r="J236">
        <v>140</v>
      </c>
      <c r="K236" s="4">
        <v>2</v>
      </c>
      <c r="L236" s="5"/>
      <c r="M236" s="5"/>
      <c r="N236">
        <v>266</v>
      </c>
    </row>
    <row r="237" spans="1:14" x14ac:dyDescent="0.25">
      <c r="A237" t="s">
        <v>297</v>
      </c>
      <c r="B237">
        <f t="shared" si="9"/>
        <v>2</v>
      </c>
      <c r="C237" t="str">
        <f t="shared" si="10"/>
        <v>07</v>
      </c>
      <c r="D237" t="str">
        <f t="shared" si="11"/>
        <v>B</v>
      </c>
      <c r="J237">
        <v>301</v>
      </c>
      <c r="K237" s="4">
        <v>2</v>
      </c>
      <c r="L237" s="5"/>
      <c r="M237" s="5"/>
    </row>
    <row r="238" spans="1:14" x14ac:dyDescent="0.25">
      <c r="A238" t="s">
        <v>298</v>
      </c>
      <c r="B238">
        <f t="shared" si="9"/>
        <v>2</v>
      </c>
      <c r="C238" t="str">
        <f t="shared" si="10"/>
        <v>07</v>
      </c>
      <c r="D238" t="str">
        <f t="shared" si="11"/>
        <v>C</v>
      </c>
      <c r="J238">
        <v>399</v>
      </c>
      <c r="K238" s="4">
        <v>2</v>
      </c>
      <c r="L238" s="5"/>
      <c r="M238" s="5"/>
    </row>
    <row r="239" spans="1:14" x14ac:dyDescent="0.25">
      <c r="A239" t="s">
        <v>195</v>
      </c>
      <c r="B239">
        <f t="shared" si="9"/>
        <v>2</v>
      </c>
      <c r="C239" t="str">
        <f t="shared" si="10"/>
        <v>07</v>
      </c>
      <c r="D239" t="str">
        <f t="shared" si="11"/>
        <v>A</v>
      </c>
      <c r="J239">
        <v>129</v>
      </c>
      <c r="K239" s="4">
        <v>1</v>
      </c>
      <c r="L239" s="5"/>
      <c r="M239" s="5"/>
      <c r="N239">
        <v>74</v>
      </c>
    </row>
    <row r="240" spans="1:14" x14ac:dyDescent="0.25">
      <c r="A240" t="s">
        <v>299</v>
      </c>
      <c r="B240">
        <f t="shared" si="9"/>
        <v>2</v>
      </c>
      <c r="C240" t="str">
        <f t="shared" si="10"/>
        <v>07</v>
      </c>
      <c r="D240" t="str">
        <f t="shared" si="11"/>
        <v>B</v>
      </c>
      <c r="J240">
        <v>145</v>
      </c>
      <c r="K240" s="4">
        <v>2</v>
      </c>
      <c r="L240" s="5"/>
      <c r="M240" s="5"/>
    </row>
    <row r="241" spans="1:14" x14ac:dyDescent="0.25">
      <c r="A241" t="s">
        <v>196</v>
      </c>
      <c r="B241">
        <f t="shared" si="9"/>
        <v>3</v>
      </c>
      <c r="C241" t="str">
        <f t="shared" si="10"/>
        <v>07</v>
      </c>
      <c r="D241" t="str">
        <f t="shared" si="11"/>
        <v>A</v>
      </c>
      <c r="J241">
        <v>216</v>
      </c>
      <c r="K241" s="4">
        <v>1</v>
      </c>
      <c r="L241" s="5"/>
      <c r="M241" s="5"/>
      <c r="N241">
        <v>1</v>
      </c>
    </row>
    <row r="242" spans="1:14" x14ac:dyDescent="0.25">
      <c r="A242" t="s">
        <v>197</v>
      </c>
      <c r="B242">
        <f t="shared" si="9"/>
        <v>3</v>
      </c>
      <c r="C242" t="str">
        <f t="shared" si="10"/>
        <v>07</v>
      </c>
      <c r="D242" t="str">
        <f t="shared" si="11"/>
        <v>A</v>
      </c>
      <c r="J242">
        <v>125</v>
      </c>
      <c r="K242" s="4">
        <v>1</v>
      </c>
      <c r="L242" s="5"/>
      <c r="M242" s="5"/>
      <c r="N242">
        <v>444</v>
      </c>
    </row>
    <row r="243" spans="1:14" x14ac:dyDescent="0.25">
      <c r="A243" t="s">
        <v>198</v>
      </c>
      <c r="B243">
        <f t="shared" si="9"/>
        <v>3</v>
      </c>
      <c r="C243" t="str">
        <f t="shared" si="10"/>
        <v>07</v>
      </c>
      <c r="D243" t="str">
        <f t="shared" si="11"/>
        <v>B</v>
      </c>
      <c r="J243">
        <v>112</v>
      </c>
      <c r="K243" s="4">
        <v>1</v>
      </c>
      <c r="L243" s="5"/>
      <c r="M243" s="5"/>
      <c r="N243">
        <v>157</v>
      </c>
    </row>
    <row r="244" spans="1:14" x14ac:dyDescent="0.25">
      <c r="A244" t="s">
        <v>199</v>
      </c>
      <c r="B244">
        <f t="shared" si="9"/>
        <v>5</v>
      </c>
      <c r="C244" t="str">
        <f t="shared" si="10"/>
        <v>07</v>
      </c>
      <c r="D244" t="str">
        <f t="shared" si="11"/>
        <v>A</v>
      </c>
      <c r="J244">
        <v>207</v>
      </c>
      <c r="K244" s="4">
        <v>1</v>
      </c>
      <c r="L244" s="5"/>
      <c r="M244" s="5"/>
      <c r="N244">
        <v>152</v>
      </c>
    </row>
    <row r="245" spans="1:14" x14ac:dyDescent="0.25">
      <c r="A245" t="s">
        <v>336</v>
      </c>
      <c r="B245">
        <f t="shared" si="9"/>
        <v>5</v>
      </c>
      <c r="C245" t="str">
        <f t="shared" si="10"/>
        <v>07</v>
      </c>
      <c r="D245" t="str">
        <f t="shared" si="11"/>
        <v>B</v>
      </c>
      <c r="J245">
        <v>0</v>
      </c>
      <c r="K245" s="4">
        <v>0</v>
      </c>
      <c r="L245" s="5"/>
      <c r="M245" s="5"/>
    </row>
    <row r="246" spans="1:14" x14ac:dyDescent="0.25">
      <c r="A246" t="s">
        <v>200</v>
      </c>
      <c r="B246">
        <f t="shared" si="9"/>
        <v>5</v>
      </c>
      <c r="C246" t="str">
        <f t="shared" si="10"/>
        <v>07</v>
      </c>
      <c r="D246" t="str">
        <f t="shared" si="11"/>
        <v>A</v>
      </c>
      <c r="J246">
        <v>351</v>
      </c>
      <c r="K246" s="4">
        <v>2</v>
      </c>
      <c r="L246" s="5"/>
      <c r="M246" s="5"/>
      <c r="N246">
        <v>131</v>
      </c>
    </row>
    <row r="247" spans="1:14" x14ac:dyDescent="0.25">
      <c r="A247" t="s">
        <v>201</v>
      </c>
      <c r="B247">
        <f t="shared" si="9"/>
        <v>8</v>
      </c>
      <c r="C247" t="str">
        <f t="shared" si="10"/>
        <v>07</v>
      </c>
      <c r="D247" t="str">
        <f t="shared" si="11"/>
        <v>A</v>
      </c>
      <c r="J247">
        <v>97</v>
      </c>
      <c r="K247" s="4">
        <v>2</v>
      </c>
      <c r="L247" s="5"/>
      <c r="M247" s="5"/>
      <c r="N247">
        <v>82</v>
      </c>
    </row>
    <row r="248" spans="1:14" x14ac:dyDescent="0.25">
      <c r="A248" t="s">
        <v>202</v>
      </c>
      <c r="B248">
        <f t="shared" si="9"/>
        <v>8</v>
      </c>
      <c r="C248" t="str">
        <f t="shared" si="10"/>
        <v>07</v>
      </c>
      <c r="D248" t="str">
        <f t="shared" si="11"/>
        <v>A</v>
      </c>
      <c r="J248">
        <v>314</v>
      </c>
      <c r="K248" s="4">
        <v>1</v>
      </c>
      <c r="L248" s="5"/>
      <c r="M248" s="5"/>
      <c r="N248">
        <v>175</v>
      </c>
    </row>
    <row r="249" spans="1:14" x14ac:dyDescent="0.25">
      <c r="A249" t="s">
        <v>203</v>
      </c>
      <c r="B249">
        <f t="shared" si="9"/>
        <v>11</v>
      </c>
      <c r="C249" t="str">
        <f t="shared" si="10"/>
        <v>07</v>
      </c>
      <c r="D249" t="str">
        <f t="shared" si="11"/>
        <v>A</v>
      </c>
      <c r="J249">
        <v>164</v>
      </c>
      <c r="K249" s="4">
        <v>1</v>
      </c>
      <c r="L249" s="5"/>
      <c r="M249" s="5"/>
      <c r="N249">
        <v>149</v>
      </c>
    </row>
    <row r="250" spans="1:14" x14ac:dyDescent="0.25">
      <c r="A250" t="s">
        <v>300</v>
      </c>
      <c r="B250">
        <f t="shared" si="9"/>
        <v>11</v>
      </c>
      <c r="C250" t="str">
        <f t="shared" si="10"/>
        <v>07</v>
      </c>
      <c r="D250" t="str">
        <f t="shared" si="11"/>
        <v>A</v>
      </c>
      <c r="J250">
        <v>404</v>
      </c>
      <c r="K250" s="4">
        <v>2</v>
      </c>
      <c r="L250" s="5"/>
      <c r="M250" s="5"/>
    </row>
    <row r="251" spans="1:14" x14ac:dyDescent="0.25">
      <c r="A251" t="s">
        <v>204</v>
      </c>
      <c r="B251">
        <f t="shared" si="9"/>
        <v>14</v>
      </c>
      <c r="C251" t="str">
        <f t="shared" si="10"/>
        <v>07</v>
      </c>
      <c r="D251" t="str">
        <f t="shared" si="11"/>
        <v>A</v>
      </c>
      <c r="J251">
        <v>183</v>
      </c>
      <c r="K251" s="4">
        <v>1</v>
      </c>
      <c r="L251" s="5"/>
      <c r="M251" s="5"/>
      <c r="N251">
        <v>81</v>
      </c>
    </row>
    <row r="252" spans="1:14" x14ac:dyDescent="0.25">
      <c r="A252" t="s">
        <v>205</v>
      </c>
      <c r="B252">
        <f t="shared" si="9"/>
        <v>14</v>
      </c>
      <c r="C252" t="str">
        <f t="shared" si="10"/>
        <v>07</v>
      </c>
      <c r="D252" t="str">
        <f t="shared" si="11"/>
        <v>A</v>
      </c>
      <c r="J252">
        <v>304</v>
      </c>
      <c r="K252" s="4">
        <v>2</v>
      </c>
      <c r="L252" s="5"/>
      <c r="M252" s="5"/>
      <c r="N252">
        <v>54</v>
      </c>
    </row>
    <row r="253" spans="1:14" x14ac:dyDescent="0.25">
      <c r="A253" t="s">
        <v>206</v>
      </c>
      <c r="B253">
        <f t="shared" si="9"/>
        <v>17</v>
      </c>
      <c r="C253" t="str">
        <f t="shared" si="10"/>
        <v>07</v>
      </c>
      <c r="D253" t="str">
        <f t="shared" si="11"/>
        <v>A</v>
      </c>
      <c r="J253">
        <v>560</v>
      </c>
      <c r="K253" s="4">
        <v>0</v>
      </c>
      <c r="L253" s="5"/>
      <c r="M253" s="5"/>
      <c r="N253">
        <v>50</v>
      </c>
    </row>
    <row r="254" spans="1:14" x14ac:dyDescent="0.25">
      <c r="A254" t="s">
        <v>207</v>
      </c>
      <c r="B254">
        <f t="shared" si="9"/>
        <v>17</v>
      </c>
      <c r="C254" t="str">
        <f t="shared" si="10"/>
        <v>07</v>
      </c>
      <c r="D254" t="str">
        <f t="shared" si="11"/>
        <v>A</v>
      </c>
      <c r="J254">
        <v>85</v>
      </c>
      <c r="K254" s="4">
        <v>1</v>
      </c>
      <c r="L254" s="5"/>
      <c r="M254" s="5"/>
      <c r="N254">
        <v>211</v>
      </c>
    </row>
    <row r="255" spans="1:14" x14ac:dyDescent="0.25">
      <c r="A255" t="s">
        <v>208</v>
      </c>
      <c r="B255">
        <f t="shared" si="9"/>
        <v>24</v>
      </c>
      <c r="C255" t="str">
        <f t="shared" si="10"/>
        <v>07</v>
      </c>
      <c r="D255" t="str">
        <f t="shared" si="11"/>
        <v>A</v>
      </c>
      <c r="J255">
        <v>373</v>
      </c>
      <c r="K255" s="4">
        <v>2</v>
      </c>
      <c r="L255" s="5"/>
      <c r="M255" s="5"/>
      <c r="N255">
        <v>251</v>
      </c>
    </row>
    <row r="256" spans="1:14" x14ac:dyDescent="0.25">
      <c r="A256" t="s">
        <v>301</v>
      </c>
      <c r="B256">
        <f t="shared" si="9"/>
        <v>24</v>
      </c>
      <c r="C256" t="str">
        <f t="shared" si="10"/>
        <v>07</v>
      </c>
      <c r="D256" t="str">
        <f t="shared" si="11"/>
        <v>B</v>
      </c>
      <c r="J256">
        <v>258</v>
      </c>
      <c r="K256" s="4">
        <v>2</v>
      </c>
      <c r="L256" s="5"/>
      <c r="M256" s="5"/>
    </row>
    <row r="257" spans="1:14" x14ac:dyDescent="0.25">
      <c r="A257" t="s">
        <v>209</v>
      </c>
      <c r="B257">
        <f t="shared" si="9"/>
        <v>24</v>
      </c>
      <c r="C257" t="str">
        <f t="shared" si="10"/>
        <v>07</v>
      </c>
      <c r="D257" t="str">
        <f t="shared" si="11"/>
        <v>A</v>
      </c>
      <c r="J257">
        <v>379</v>
      </c>
      <c r="K257" s="4">
        <v>2</v>
      </c>
      <c r="L257" s="5"/>
      <c r="M257" s="5"/>
      <c r="N257">
        <v>54</v>
      </c>
    </row>
    <row r="258" spans="1:14" x14ac:dyDescent="0.25">
      <c r="A258" t="s">
        <v>210</v>
      </c>
      <c r="B258">
        <f t="shared" ref="B258:B321" si="12">MID(A258,4,2)+0</f>
        <v>31</v>
      </c>
      <c r="C258" t="str">
        <f t="shared" ref="C258:C321" si="13">LEFT(A258,2)</f>
        <v>07</v>
      </c>
      <c r="D258" t="str">
        <f t="shared" ref="D258:D321" si="14">RIGHT(A258)</f>
        <v>A</v>
      </c>
      <c r="J258">
        <v>208</v>
      </c>
      <c r="K258" s="4">
        <v>2</v>
      </c>
      <c r="L258" s="5"/>
      <c r="M258" s="5"/>
      <c r="N258">
        <v>81</v>
      </c>
    </row>
    <row r="259" spans="1:14" x14ac:dyDescent="0.25">
      <c r="A259" t="s">
        <v>211</v>
      </c>
      <c r="B259">
        <f t="shared" si="12"/>
        <v>31</v>
      </c>
      <c r="C259" t="str">
        <f t="shared" si="13"/>
        <v>07</v>
      </c>
      <c r="D259" t="str">
        <f t="shared" si="14"/>
        <v>A</v>
      </c>
      <c r="J259">
        <v>337</v>
      </c>
      <c r="K259" s="4">
        <v>2</v>
      </c>
      <c r="L259" s="5"/>
      <c r="M259" s="5"/>
      <c r="N259">
        <v>304</v>
      </c>
    </row>
    <row r="260" spans="1:14" x14ac:dyDescent="0.25">
      <c r="A260" t="s">
        <v>212</v>
      </c>
      <c r="B260">
        <f t="shared" si="12"/>
        <v>38</v>
      </c>
      <c r="C260" t="str">
        <f t="shared" si="13"/>
        <v>07</v>
      </c>
      <c r="D260" t="str">
        <f t="shared" si="14"/>
        <v>A</v>
      </c>
      <c r="J260">
        <v>162</v>
      </c>
      <c r="K260" s="4">
        <v>2</v>
      </c>
      <c r="L260" s="5"/>
      <c r="M260" s="5"/>
      <c r="N260">
        <v>79</v>
      </c>
    </row>
    <row r="261" spans="1:14" x14ac:dyDescent="0.25">
      <c r="A261" t="s">
        <v>213</v>
      </c>
      <c r="B261">
        <f t="shared" si="12"/>
        <v>38</v>
      </c>
      <c r="C261" t="str">
        <f t="shared" si="13"/>
        <v>07</v>
      </c>
      <c r="D261" t="str">
        <f t="shared" si="14"/>
        <v>A</v>
      </c>
      <c r="J261">
        <v>218</v>
      </c>
      <c r="K261" s="4">
        <v>2</v>
      </c>
      <c r="L261" s="5"/>
      <c r="M261" s="5"/>
      <c r="N261">
        <v>82</v>
      </c>
    </row>
    <row r="262" spans="1:14" x14ac:dyDescent="0.25">
      <c r="A262" t="s">
        <v>214</v>
      </c>
      <c r="B262">
        <f t="shared" si="12"/>
        <v>45</v>
      </c>
      <c r="C262" t="str">
        <f t="shared" si="13"/>
        <v>07</v>
      </c>
      <c r="D262" t="str">
        <f t="shared" si="14"/>
        <v>A</v>
      </c>
      <c r="J262">
        <v>146</v>
      </c>
      <c r="K262" s="4">
        <v>1</v>
      </c>
      <c r="L262" s="5"/>
      <c r="M262" s="5"/>
      <c r="N262">
        <v>48</v>
      </c>
    </row>
    <row r="263" spans="1:14" x14ac:dyDescent="0.25">
      <c r="A263" t="s">
        <v>215</v>
      </c>
      <c r="B263">
        <f t="shared" si="12"/>
        <v>45</v>
      </c>
      <c r="C263" t="str">
        <f t="shared" si="13"/>
        <v>07</v>
      </c>
      <c r="D263" t="str">
        <f t="shared" si="14"/>
        <v>A</v>
      </c>
      <c r="J263">
        <v>40</v>
      </c>
      <c r="K263" s="4">
        <v>2</v>
      </c>
      <c r="L263" s="5"/>
      <c r="M263" s="5"/>
      <c r="N263">
        <v>19</v>
      </c>
    </row>
    <row r="264" spans="1:14" x14ac:dyDescent="0.25">
      <c r="A264" t="s">
        <v>216</v>
      </c>
      <c r="B264">
        <f t="shared" si="12"/>
        <v>52</v>
      </c>
      <c r="C264" t="str">
        <f t="shared" si="13"/>
        <v>07</v>
      </c>
      <c r="D264" t="str">
        <f t="shared" si="14"/>
        <v>A</v>
      </c>
      <c r="J264">
        <v>27</v>
      </c>
      <c r="K264" s="4">
        <v>1</v>
      </c>
      <c r="L264" s="5"/>
      <c r="M264" s="5"/>
      <c r="N264">
        <v>20</v>
      </c>
    </row>
    <row r="265" spans="1:14" x14ac:dyDescent="0.25">
      <c r="A265" t="s">
        <v>302</v>
      </c>
      <c r="B265">
        <f t="shared" si="12"/>
        <v>52</v>
      </c>
      <c r="C265" t="str">
        <f t="shared" si="13"/>
        <v>07</v>
      </c>
      <c r="D265" t="str">
        <f t="shared" si="14"/>
        <v>B</v>
      </c>
      <c r="J265">
        <v>64</v>
      </c>
      <c r="K265" s="4">
        <v>2</v>
      </c>
      <c r="L265" s="5"/>
      <c r="M265" s="5"/>
    </row>
    <row r="266" spans="1:14" x14ac:dyDescent="0.25">
      <c r="A266" t="s">
        <v>59</v>
      </c>
      <c r="B266">
        <f t="shared" si="12"/>
        <v>1</v>
      </c>
      <c r="C266" t="str">
        <f t="shared" si="13"/>
        <v>08</v>
      </c>
      <c r="D266" t="str">
        <f t="shared" si="14"/>
        <v>A</v>
      </c>
      <c r="E266">
        <v>35</v>
      </c>
      <c r="F266">
        <v>1</v>
      </c>
      <c r="G266" s="4">
        <v>0</v>
      </c>
      <c r="H266" s="5"/>
      <c r="I266" s="5"/>
      <c r="N266">
        <v>26</v>
      </c>
    </row>
    <row r="267" spans="1:14" x14ac:dyDescent="0.25">
      <c r="A267" t="s">
        <v>60</v>
      </c>
      <c r="B267">
        <f t="shared" si="12"/>
        <v>1</v>
      </c>
      <c r="C267" t="str">
        <f t="shared" si="13"/>
        <v>08</v>
      </c>
      <c r="D267" t="str">
        <f t="shared" si="14"/>
        <v>B</v>
      </c>
      <c r="E267">
        <v>31</v>
      </c>
      <c r="F267">
        <v>76</v>
      </c>
      <c r="G267" s="4">
        <v>1</v>
      </c>
      <c r="H267" s="5"/>
      <c r="I267" s="5"/>
    </row>
    <row r="268" spans="1:14" x14ac:dyDescent="0.25">
      <c r="A268" t="s">
        <v>61</v>
      </c>
      <c r="B268">
        <f t="shared" si="12"/>
        <v>2</v>
      </c>
      <c r="C268" t="str">
        <f t="shared" si="13"/>
        <v>08</v>
      </c>
      <c r="D268" t="str">
        <f t="shared" si="14"/>
        <v>A</v>
      </c>
      <c r="E268">
        <v>29</v>
      </c>
      <c r="F268">
        <v>17</v>
      </c>
      <c r="G268" s="4">
        <v>0</v>
      </c>
      <c r="H268" s="5"/>
      <c r="I268" s="5"/>
      <c r="N268">
        <v>47</v>
      </c>
    </row>
    <row r="269" spans="1:14" x14ac:dyDescent="0.25">
      <c r="A269" t="s">
        <v>62</v>
      </c>
      <c r="B269">
        <f t="shared" si="12"/>
        <v>3</v>
      </c>
      <c r="C269" t="str">
        <f t="shared" si="13"/>
        <v>08</v>
      </c>
      <c r="D269" t="str">
        <f t="shared" si="14"/>
        <v>A</v>
      </c>
      <c r="E269">
        <v>154</v>
      </c>
      <c r="F269">
        <v>0</v>
      </c>
      <c r="G269" s="4">
        <v>0</v>
      </c>
      <c r="H269" s="5"/>
      <c r="I269" s="5"/>
      <c r="N269">
        <v>25</v>
      </c>
    </row>
    <row r="270" spans="1:14" x14ac:dyDescent="0.25">
      <c r="A270" t="s">
        <v>63</v>
      </c>
      <c r="B270">
        <f t="shared" si="12"/>
        <v>5</v>
      </c>
      <c r="C270" t="str">
        <f t="shared" si="13"/>
        <v>08</v>
      </c>
      <c r="D270" t="str">
        <f t="shared" si="14"/>
        <v>A</v>
      </c>
      <c r="E270">
        <v>46</v>
      </c>
      <c r="F270">
        <v>0</v>
      </c>
      <c r="G270" s="4">
        <v>0</v>
      </c>
      <c r="H270" s="5"/>
      <c r="I270" s="5"/>
      <c r="N270">
        <v>151</v>
      </c>
    </row>
    <row r="271" spans="1:14" x14ac:dyDescent="0.25">
      <c r="A271" t="s">
        <v>64</v>
      </c>
      <c r="B271">
        <f t="shared" si="12"/>
        <v>5</v>
      </c>
      <c r="C271" t="str">
        <f t="shared" si="13"/>
        <v>08</v>
      </c>
      <c r="D271" t="str">
        <f t="shared" si="14"/>
        <v>B</v>
      </c>
      <c r="E271">
        <v>134</v>
      </c>
      <c r="F271">
        <v>8</v>
      </c>
      <c r="G271" s="4">
        <v>0</v>
      </c>
      <c r="H271" s="5"/>
      <c r="I271" s="5"/>
      <c r="N271">
        <v>229</v>
      </c>
    </row>
    <row r="272" spans="1:14" x14ac:dyDescent="0.25">
      <c r="A272" t="s">
        <v>65</v>
      </c>
      <c r="B272">
        <f t="shared" si="12"/>
        <v>5</v>
      </c>
      <c r="C272" t="str">
        <f t="shared" si="13"/>
        <v>08</v>
      </c>
      <c r="D272" t="str">
        <f t="shared" si="14"/>
        <v>A</v>
      </c>
      <c r="E272">
        <v>216</v>
      </c>
      <c r="F272">
        <v>74</v>
      </c>
      <c r="G272" s="4">
        <v>1</v>
      </c>
      <c r="H272" s="5"/>
      <c r="I272" s="5"/>
      <c r="N272">
        <v>72</v>
      </c>
    </row>
    <row r="273" spans="1:14" x14ac:dyDescent="0.25">
      <c r="A273" t="s">
        <v>66</v>
      </c>
      <c r="B273">
        <f t="shared" si="12"/>
        <v>5</v>
      </c>
      <c r="C273" t="str">
        <f t="shared" si="13"/>
        <v>08</v>
      </c>
      <c r="D273" t="str">
        <f t="shared" si="14"/>
        <v>B</v>
      </c>
      <c r="E273">
        <v>290</v>
      </c>
      <c r="F273">
        <v>6</v>
      </c>
      <c r="G273" s="4">
        <v>0</v>
      </c>
      <c r="H273" s="5"/>
      <c r="I273" s="5"/>
      <c r="N273">
        <v>96</v>
      </c>
    </row>
    <row r="274" spans="1:14" x14ac:dyDescent="0.25">
      <c r="A274" t="s">
        <v>67</v>
      </c>
      <c r="B274">
        <f t="shared" si="12"/>
        <v>1</v>
      </c>
      <c r="C274" t="str">
        <f t="shared" si="13"/>
        <v>1B</v>
      </c>
      <c r="D274" t="str">
        <f t="shared" si="14"/>
        <v>A</v>
      </c>
      <c r="E274">
        <v>5</v>
      </c>
      <c r="F274">
        <v>13</v>
      </c>
      <c r="G274" s="4">
        <v>0</v>
      </c>
      <c r="H274" s="5"/>
      <c r="I274" s="5"/>
      <c r="N274">
        <v>0</v>
      </c>
    </row>
    <row r="275" spans="1:14" x14ac:dyDescent="0.25">
      <c r="A275" t="s">
        <v>68</v>
      </c>
      <c r="B275">
        <f t="shared" si="12"/>
        <v>1</v>
      </c>
      <c r="C275" t="str">
        <f t="shared" si="13"/>
        <v>1B</v>
      </c>
      <c r="D275" t="str">
        <f t="shared" si="14"/>
        <v>B</v>
      </c>
      <c r="E275">
        <v>43</v>
      </c>
      <c r="F275">
        <v>8</v>
      </c>
      <c r="G275" s="4">
        <v>0</v>
      </c>
      <c r="H275" s="5"/>
      <c r="I275" s="5"/>
    </row>
    <row r="276" spans="1:14" x14ac:dyDescent="0.25">
      <c r="A276" t="s">
        <v>69</v>
      </c>
      <c r="B276">
        <f t="shared" si="12"/>
        <v>2</v>
      </c>
      <c r="C276" t="str">
        <f t="shared" si="13"/>
        <v>1B</v>
      </c>
      <c r="D276" t="str">
        <f t="shared" si="14"/>
        <v>A</v>
      </c>
      <c r="E276">
        <v>157</v>
      </c>
      <c r="F276">
        <v>59</v>
      </c>
      <c r="G276" s="4">
        <v>0</v>
      </c>
      <c r="H276" s="5"/>
      <c r="I276" s="5"/>
      <c r="N276">
        <v>1</v>
      </c>
    </row>
    <row r="277" spans="1:14" x14ac:dyDescent="0.25">
      <c r="A277" t="s">
        <v>70</v>
      </c>
      <c r="B277">
        <f t="shared" si="12"/>
        <v>2</v>
      </c>
      <c r="C277" t="str">
        <f t="shared" si="13"/>
        <v>1B</v>
      </c>
      <c r="D277" t="str">
        <f t="shared" si="14"/>
        <v>B</v>
      </c>
      <c r="E277">
        <v>25</v>
      </c>
      <c r="F277">
        <v>31</v>
      </c>
      <c r="G277" s="4">
        <v>1</v>
      </c>
      <c r="H277" s="5"/>
      <c r="I277" s="5"/>
    </row>
    <row r="278" spans="1:14" x14ac:dyDescent="0.25">
      <c r="A278" t="s">
        <v>71</v>
      </c>
      <c r="B278">
        <f t="shared" si="12"/>
        <v>3</v>
      </c>
      <c r="C278" t="str">
        <f t="shared" si="13"/>
        <v>1B</v>
      </c>
      <c r="D278" t="str">
        <f t="shared" si="14"/>
        <v>A</v>
      </c>
      <c r="E278">
        <v>125</v>
      </c>
      <c r="F278">
        <v>8</v>
      </c>
      <c r="G278" s="4">
        <v>0</v>
      </c>
      <c r="H278" s="5"/>
      <c r="I278" s="5"/>
      <c r="N278">
        <v>67</v>
      </c>
    </row>
    <row r="279" spans="1:14" x14ac:dyDescent="0.25">
      <c r="A279" t="s">
        <v>72</v>
      </c>
      <c r="B279">
        <f t="shared" si="12"/>
        <v>3</v>
      </c>
      <c r="C279" t="str">
        <f t="shared" si="13"/>
        <v>1B</v>
      </c>
      <c r="D279" t="str">
        <f t="shared" si="14"/>
        <v>B</v>
      </c>
      <c r="E279">
        <v>185</v>
      </c>
      <c r="F279">
        <v>31</v>
      </c>
      <c r="G279" s="4">
        <v>0</v>
      </c>
      <c r="H279" s="5"/>
      <c r="I279" s="5"/>
      <c r="N279">
        <v>87</v>
      </c>
    </row>
    <row r="280" spans="1:14" x14ac:dyDescent="0.25">
      <c r="A280" t="s">
        <v>73</v>
      </c>
      <c r="B280">
        <f t="shared" si="12"/>
        <v>3</v>
      </c>
      <c r="C280" t="str">
        <f t="shared" si="13"/>
        <v>1B</v>
      </c>
      <c r="D280" t="str">
        <f t="shared" si="14"/>
        <v>C</v>
      </c>
      <c r="E280">
        <v>18</v>
      </c>
      <c r="F280">
        <v>7</v>
      </c>
      <c r="G280" s="4">
        <v>0</v>
      </c>
      <c r="H280" s="5"/>
      <c r="I280" s="5"/>
      <c r="N280">
        <v>2</v>
      </c>
    </row>
    <row r="281" spans="1:14" x14ac:dyDescent="0.25">
      <c r="A281" t="s">
        <v>74</v>
      </c>
      <c r="B281">
        <f t="shared" si="12"/>
        <v>5</v>
      </c>
      <c r="C281" t="str">
        <f t="shared" si="13"/>
        <v>1B</v>
      </c>
      <c r="D281" t="str">
        <f t="shared" si="14"/>
        <v>A</v>
      </c>
      <c r="E281">
        <v>62</v>
      </c>
      <c r="G281" s="3"/>
      <c r="H281" s="3"/>
      <c r="I281" s="3"/>
    </row>
    <row r="282" spans="1:14" x14ac:dyDescent="0.25">
      <c r="A282" t="s">
        <v>217</v>
      </c>
      <c r="B282">
        <f t="shared" si="12"/>
        <v>21</v>
      </c>
      <c r="C282" t="str">
        <f t="shared" si="13"/>
        <v>X1</v>
      </c>
      <c r="D282" t="str">
        <f t="shared" si="14"/>
        <v>A</v>
      </c>
      <c r="J282">
        <v>144</v>
      </c>
      <c r="K282" s="4">
        <v>2</v>
      </c>
      <c r="L282" s="5"/>
      <c r="M282" s="5"/>
      <c r="N282">
        <v>85</v>
      </c>
    </row>
    <row r="283" spans="1:14" x14ac:dyDescent="0.25">
      <c r="A283" t="s">
        <v>303</v>
      </c>
      <c r="B283">
        <f t="shared" si="12"/>
        <v>21</v>
      </c>
      <c r="C283" t="str">
        <f t="shared" si="13"/>
        <v>X1</v>
      </c>
      <c r="D283" t="str">
        <f t="shared" si="14"/>
        <v>B</v>
      </c>
      <c r="J283">
        <v>313</v>
      </c>
      <c r="K283" s="4">
        <v>1</v>
      </c>
      <c r="L283" s="5"/>
      <c r="M283" s="5"/>
    </row>
    <row r="284" spans="1:14" x14ac:dyDescent="0.25">
      <c r="A284" t="s">
        <v>218</v>
      </c>
      <c r="B284">
        <f t="shared" si="12"/>
        <v>24</v>
      </c>
      <c r="C284" t="str">
        <f t="shared" si="13"/>
        <v>X1</v>
      </c>
      <c r="D284" t="str">
        <f t="shared" si="14"/>
        <v>A</v>
      </c>
      <c r="J284">
        <v>177</v>
      </c>
      <c r="K284" s="4">
        <v>2</v>
      </c>
      <c r="L284" s="5"/>
      <c r="M284" s="5"/>
      <c r="N284">
        <v>78</v>
      </c>
    </row>
    <row r="285" spans="1:14" x14ac:dyDescent="0.25">
      <c r="A285" t="s">
        <v>304</v>
      </c>
      <c r="B285">
        <f t="shared" si="12"/>
        <v>24</v>
      </c>
      <c r="C285" t="str">
        <f t="shared" si="13"/>
        <v>X1</v>
      </c>
      <c r="D285" t="str">
        <f t="shared" si="14"/>
        <v>B</v>
      </c>
      <c r="J285">
        <v>225</v>
      </c>
      <c r="K285" s="4">
        <v>2</v>
      </c>
      <c r="L285" s="5"/>
      <c r="M285" s="5"/>
    </row>
    <row r="286" spans="1:14" x14ac:dyDescent="0.25">
      <c r="A286" t="s">
        <v>219</v>
      </c>
      <c r="B286">
        <f t="shared" si="12"/>
        <v>28</v>
      </c>
      <c r="C286" t="str">
        <f t="shared" si="13"/>
        <v>X1</v>
      </c>
      <c r="D286" t="str">
        <f t="shared" si="14"/>
        <v>A</v>
      </c>
      <c r="J286">
        <v>154</v>
      </c>
      <c r="K286" s="4">
        <v>2</v>
      </c>
      <c r="L286" s="5"/>
      <c r="M286" s="5"/>
      <c r="N286">
        <v>55</v>
      </c>
    </row>
    <row r="287" spans="1:14" x14ac:dyDescent="0.25">
      <c r="A287" t="s">
        <v>305</v>
      </c>
      <c r="B287">
        <f t="shared" si="12"/>
        <v>28</v>
      </c>
      <c r="C287" t="str">
        <f t="shared" si="13"/>
        <v>X1</v>
      </c>
      <c r="D287" t="str">
        <f t="shared" si="14"/>
        <v>B</v>
      </c>
      <c r="J287">
        <v>144</v>
      </c>
      <c r="K287" s="4">
        <v>1</v>
      </c>
      <c r="L287" s="5"/>
      <c r="M287" s="5"/>
    </row>
    <row r="288" spans="1:14" x14ac:dyDescent="0.25">
      <c r="A288" t="s">
        <v>220</v>
      </c>
      <c r="B288">
        <f t="shared" si="12"/>
        <v>29</v>
      </c>
      <c r="C288" t="str">
        <f t="shared" si="13"/>
        <v>X1</v>
      </c>
      <c r="D288" t="str">
        <f t="shared" si="14"/>
        <v>A</v>
      </c>
      <c r="J288">
        <v>311</v>
      </c>
      <c r="K288" s="4">
        <v>2</v>
      </c>
      <c r="L288" s="5"/>
      <c r="M288" s="5"/>
      <c r="N288">
        <v>140</v>
      </c>
    </row>
    <row r="289" spans="1:14" x14ac:dyDescent="0.25">
      <c r="A289" t="s">
        <v>221</v>
      </c>
      <c r="B289">
        <f t="shared" si="12"/>
        <v>32</v>
      </c>
      <c r="C289" t="str">
        <f t="shared" si="13"/>
        <v>X1</v>
      </c>
      <c r="D289" t="str">
        <f t="shared" si="14"/>
        <v>A</v>
      </c>
      <c r="J289">
        <v>139</v>
      </c>
      <c r="K289" s="4">
        <v>2</v>
      </c>
      <c r="L289" s="5"/>
      <c r="M289" s="5"/>
      <c r="N289">
        <v>56</v>
      </c>
    </row>
    <row r="290" spans="1:14" x14ac:dyDescent="0.25">
      <c r="A290" t="s">
        <v>222</v>
      </c>
      <c r="B290">
        <f t="shared" si="12"/>
        <v>35</v>
      </c>
      <c r="C290" t="str">
        <f t="shared" si="13"/>
        <v>X1</v>
      </c>
      <c r="D290" t="str">
        <f t="shared" si="14"/>
        <v>A</v>
      </c>
      <c r="J290">
        <v>149</v>
      </c>
      <c r="K290" s="4">
        <v>2</v>
      </c>
      <c r="L290" s="5"/>
      <c r="M290" s="5"/>
      <c r="N290">
        <v>61</v>
      </c>
    </row>
    <row r="291" spans="1:14" x14ac:dyDescent="0.25">
      <c r="A291" t="s">
        <v>306</v>
      </c>
      <c r="B291">
        <f t="shared" si="12"/>
        <v>3</v>
      </c>
      <c r="C291" t="str">
        <f t="shared" si="13"/>
        <v>X3</v>
      </c>
      <c r="D291" t="str">
        <f t="shared" si="14"/>
        <v>A</v>
      </c>
      <c r="J291">
        <v>398</v>
      </c>
      <c r="K291" s="4">
        <v>2</v>
      </c>
      <c r="L291" s="5"/>
      <c r="M291" s="5"/>
    </row>
    <row r="292" spans="1:14" x14ac:dyDescent="0.25">
      <c r="A292" t="s">
        <v>307</v>
      </c>
      <c r="B292">
        <f t="shared" si="12"/>
        <v>3</v>
      </c>
      <c r="C292" t="str">
        <f t="shared" si="13"/>
        <v>X3</v>
      </c>
      <c r="D292" t="str">
        <f t="shared" si="14"/>
        <v>B</v>
      </c>
      <c r="J292">
        <v>133</v>
      </c>
      <c r="K292" s="4">
        <v>1</v>
      </c>
      <c r="L292" s="5"/>
      <c r="M292" s="5"/>
    </row>
    <row r="293" spans="1:14" x14ac:dyDescent="0.25">
      <c r="A293" t="s">
        <v>308</v>
      </c>
      <c r="B293">
        <f t="shared" si="12"/>
        <v>5</v>
      </c>
      <c r="C293" t="str">
        <f t="shared" si="13"/>
        <v>X3</v>
      </c>
      <c r="D293" t="str">
        <f t="shared" si="14"/>
        <v>A</v>
      </c>
      <c r="J293">
        <v>251</v>
      </c>
      <c r="K293" s="4">
        <v>2</v>
      </c>
      <c r="L293" s="5"/>
      <c r="M293" s="5"/>
    </row>
    <row r="294" spans="1:14" x14ac:dyDescent="0.25">
      <c r="A294" t="s">
        <v>309</v>
      </c>
      <c r="B294">
        <f t="shared" si="12"/>
        <v>5</v>
      </c>
      <c r="C294" t="str">
        <f t="shared" si="13"/>
        <v>X3</v>
      </c>
      <c r="D294" t="str">
        <f t="shared" si="14"/>
        <v>B</v>
      </c>
      <c r="J294">
        <v>126</v>
      </c>
      <c r="K294" s="4">
        <v>2</v>
      </c>
      <c r="L294" s="5"/>
      <c r="M294" s="5"/>
    </row>
    <row r="295" spans="1:14" x14ac:dyDescent="0.25">
      <c r="A295" t="s">
        <v>310</v>
      </c>
      <c r="B295">
        <f t="shared" si="12"/>
        <v>8</v>
      </c>
      <c r="C295" t="str">
        <f t="shared" si="13"/>
        <v>X3</v>
      </c>
      <c r="D295" t="str">
        <f t="shared" si="14"/>
        <v>A</v>
      </c>
      <c r="J295">
        <v>344</v>
      </c>
      <c r="K295" s="4">
        <v>2</v>
      </c>
      <c r="L295" s="5"/>
      <c r="M295" s="5"/>
    </row>
    <row r="296" spans="1:14" x14ac:dyDescent="0.25">
      <c r="A296" t="s">
        <v>337</v>
      </c>
      <c r="B296">
        <f t="shared" si="12"/>
        <v>8</v>
      </c>
      <c r="C296" t="str">
        <f t="shared" si="13"/>
        <v>X3</v>
      </c>
      <c r="D296" t="str">
        <f t="shared" si="14"/>
        <v>B</v>
      </c>
      <c r="J296">
        <v>0</v>
      </c>
      <c r="K296" s="4">
        <v>0</v>
      </c>
      <c r="L296" s="5"/>
      <c r="M296" s="5"/>
    </row>
    <row r="297" spans="1:14" x14ac:dyDescent="0.25">
      <c r="A297" t="s">
        <v>223</v>
      </c>
      <c r="B297">
        <f t="shared" si="12"/>
        <v>1</v>
      </c>
      <c r="C297" t="str">
        <f t="shared" si="13"/>
        <v>X4</v>
      </c>
      <c r="D297" t="str">
        <f t="shared" si="14"/>
        <v>A</v>
      </c>
      <c r="J297">
        <v>21</v>
      </c>
      <c r="K297" s="4">
        <v>1</v>
      </c>
      <c r="L297" s="5"/>
      <c r="M297" s="5"/>
      <c r="N297">
        <v>1</v>
      </c>
    </row>
    <row r="298" spans="1:14" x14ac:dyDescent="0.25">
      <c r="A298" t="s">
        <v>339</v>
      </c>
      <c r="B298">
        <f t="shared" si="12"/>
        <v>1</v>
      </c>
      <c r="C298" t="str">
        <f t="shared" si="13"/>
        <v>X4</v>
      </c>
      <c r="D298" t="str">
        <f t="shared" si="14"/>
        <v>B</v>
      </c>
      <c r="J298">
        <v>24</v>
      </c>
      <c r="K298" s="4">
        <v>0</v>
      </c>
      <c r="L298" s="5"/>
      <c r="M298" s="5"/>
    </row>
    <row r="299" spans="1:14" x14ac:dyDescent="0.25">
      <c r="A299" t="s">
        <v>311</v>
      </c>
      <c r="B299">
        <f t="shared" si="12"/>
        <v>2</v>
      </c>
      <c r="C299" t="str">
        <f t="shared" si="13"/>
        <v>X4</v>
      </c>
      <c r="D299" t="str">
        <f t="shared" si="14"/>
        <v>A</v>
      </c>
      <c r="J299">
        <v>87</v>
      </c>
      <c r="K299" s="4">
        <v>0</v>
      </c>
      <c r="L299" s="5"/>
      <c r="M299" s="5"/>
    </row>
    <row r="300" spans="1:14" x14ac:dyDescent="0.25">
      <c r="A300" t="s">
        <v>338</v>
      </c>
      <c r="B300">
        <f t="shared" si="12"/>
        <v>2</v>
      </c>
      <c r="C300" t="str">
        <f t="shared" si="13"/>
        <v>X4</v>
      </c>
      <c r="D300" t="str">
        <f t="shared" si="14"/>
        <v>B</v>
      </c>
      <c r="J300">
        <v>36</v>
      </c>
      <c r="K300" s="4">
        <v>0</v>
      </c>
      <c r="L300" s="5"/>
      <c r="M300" s="5"/>
    </row>
    <row r="301" spans="1:14" x14ac:dyDescent="0.25">
      <c r="A301" t="s">
        <v>224</v>
      </c>
      <c r="B301">
        <f t="shared" si="12"/>
        <v>6</v>
      </c>
      <c r="C301" t="str">
        <f t="shared" si="13"/>
        <v>X4</v>
      </c>
      <c r="D301" t="str">
        <f t="shared" si="14"/>
        <v>A</v>
      </c>
      <c r="K301" s="3"/>
      <c r="L301" s="3"/>
      <c r="M301" s="3"/>
      <c r="N301">
        <v>98</v>
      </c>
    </row>
    <row r="302" spans="1:14" x14ac:dyDescent="0.25">
      <c r="A302" t="s">
        <v>225</v>
      </c>
      <c r="B302">
        <f t="shared" si="12"/>
        <v>54</v>
      </c>
      <c r="C302" t="str">
        <f t="shared" si="13"/>
        <v>X4</v>
      </c>
      <c r="D302" t="str">
        <f t="shared" si="14"/>
        <v>A</v>
      </c>
      <c r="K302" s="3"/>
      <c r="L302" s="3"/>
      <c r="M302" s="3"/>
      <c r="N302">
        <v>5</v>
      </c>
    </row>
    <row r="303" spans="1:14" x14ac:dyDescent="0.25">
      <c r="A303" t="s">
        <v>226</v>
      </c>
      <c r="B303">
        <f t="shared" si="12"/>
        <v>54</v>
      </c>
      <c r="C303" t="str">
        <f t="shared" si="13"/>
        <v>X4</v>
      </c>
      <c r="D303" t="str">
        <f t="shared" si="14"/>
        <v>B</v>
      </c>
      <c r="K303" s="3"/>
      <c r="L303" s="3"/>
      <c r="M303" s="3"/>
      <c r="N303">
        <v>40</v>
      </c>
    </row>
    <row r="304" spans="1:14" x14ac:dyDescent="0.25">
      <c r="A304" t="s">
        <v>227</v>
      </c>
      <c r="B304">
        <f t="shared" si="12"/>
        <v>54</v>
      </c>
      <c r="C304" t="str">
        <f t="shared" si="13"/>
        <v>X4</v>
      </c>
      <c r="D304" t="str">
        <f t="shared" si="14"/>
        <v>C</v>
      </c>
      <c r="K304" s="3"/>
      <c r="L304" s="3"/>
      <c r="M304" s="3"/>
      <c r="N304">
        <v>24</v>
      </c>
    </row>
    <row r="305" spans="1:14" x14ac:dyDescent="0.25">
      <c r="A305" t="s">
        <v>228</v>
      </c>
      <c r="B305">
        <f t="shared" si="12"/>
        <v>1</v>
      </c>
      <c r="C305" t="str">
        <f t="shared" si="13"/>
        <v>X6</v>
      </c>
      <c r="D305" t="str">
        <f t="shared" si="14"/>
        <v>A</v>
      </c>
      <c r="J305">
        <v>86</v>
      </c>
      <c r="K305" s="4">
        <v>1</v>
      </c>
      <c r="L305" s="5"/>
      <c r="M305" s="5"/>
      <c r="N305">
        <v>39</v>
      </c>
    </row>
    <row r="306" spans="1:14" x14ac:dyDescent="0.25">
      <c r="A306" t="s">
        <v>312</v>
      </c>
      <c r="B306">
        <f t="shared" si="12"/>
        <v>1</v>
      </c>
      <c r="C306" t="str">
        <f t="shared" si="13"/>
        <v>X6</v>
      </c>
      <c r="D306" t="str">
        <f t="shared" si="14"/>
        <v>B</v>
      </c>
      <c r="J306">
        <v>216</v>
      </c>
      <c r="K306" s="4">
        <v>1</v>
      </c>
      <c r="L306" s="5"/>
      <c r="M306" s="5"/>
    </row>
    <row r="307" spans="1:14" x14ac:dyDescent="0.25">
      <c r="A307" t="s">
        <v>313</v>
      </c>
      <c r="B307">
        <f t="shared" si="12"/>
        <v>1</v>
      </c>
      <c r="C307" t="str">
        <f t="shared" si="13"/>
        <v>X6</v>
      </c>
      <c r="D307" t="str">
        <f t="shared" si="14"/>
        <v>C</v>
      </c>
      <c r="J307">
        <v>111</v>
      </c>
      <c r="K307" s="4">
        <v>1</v>
      </c>
      <c r="L307" s="5"/>
      <c r="M307" s="5"/>
    </row>
    <row r="308" spans="1:14" x14ac:dyDescent="0.25">
      <c r="A308" t="s">
        <v>314</v>
      </c>
      <c r="B308">
        <f t="shared" si="12"/>
        <v>1</v>
      </c>
      <c r="C308" t="str">
        <f t="shared" si="13"/>
        <v>X6</v>
      </c>
      <c r="D308" t="str">
        <f t="shared" si="14"/>
        <v>D</v>
      </c>
      <c r="J308">
        <v>129</v>
      </c>
      <c r="K308" s="4">
        <v>1</v>
      </c>
      <c r="L308" s="5"/>
      <c r="M308" s="5"/>
    </row>
    <row r="309" spans="1:14" x14ac:dyDescent="0.25">
      <c r="A309" t="s">
        <v>229</v>
      </c>
      <c r="B309">
        <f t="shared" si="12"/>
        <v>4</v>
      </c>
      <c r="C309" t="str">
        <f t="shared" si="13"/>
        <v>X6</v>
      </c>
      <c r="D309" t="str">
        <f t="shared" si="14"/>
        <v>A</v>
      </c>
      <c r="J309">
        <v>170</v>
      </c>
      <c r="K309" s="4">
        <v>1</v>
      </c>
      <c r="L309" s="5"/>
      <c r="M309" s="5"/>
      <c r="N309">
        <v>78</v>
      </c>
    </row>
    <row r="310" spans="1:14" x14ac:dyDescent="0.25">
      <c r="A310" t="s">
        <v>315</v>
      </c>
      <c r="B310">
        <f t="shared" si="12"/>
        <v>4</v>
      </c>
      <c r="C310" t="str">
        <f t="shared" si="13"/>
        <v>X6</v>
      </c>
      <c r="D310" t="str">
        <f t="shared" si="14"/>
        <v>B</v>
      </c>
      <c r="J310">
        <v>198</v>
      </c>
      <c r="K310" s="4">
        <v>1</v>
      </c>
      <c r="L310" s="5"/>
      <c r="M310" s="5"/>
    </row>
    <row r="311" spans="1:14" x14ac:dyDescent="0.25">
      <c r="A311" t="s">
        <v>230</v>
      </c>
      <c r="B311">
        <f t="shared" si="12"/>
        <v>8</v>
      </c>
      <c r="C311" t="str">
        <f t="shared" si="13"/>
        <v>X6</v>
      </c>
      <c r="D311" t="str">
        <f t="shared" si="14"/>
        <v>A</v>
      </c>
      <c r="J311">
        <v>0</v>
      </c>
      <c r="K311" s="4">
        <v>0</v>
      </c>
      <c r="L311" s="5"/>
      <c r="M311" s="5"/>
      <c r="N311">
        <v>48</v>
      </c>
    </row>
    <row r="312" spans="1:14" x14ac:dyDescent="0.25">
      <c r="A312" t="s">
        <v>231</v>
      </c>
      <c r="B312">
        <f t="shared" si="12"/>
        <v>21</v>
      </c>
      <c r="C312" t="str">
        <f t="shared" si="13"/>
        <v>X6</v>
      </c>
      <c r="D312" t="str">
        <f t="shared" si="14"/>
        <v>A</v>
      </c>
      <c r="J312">
        <v>138</v>
      </c>
      <c r="K312" s="4">
        <v>1</v>
      </c>
      <c r="L312" s="5"/>
      <c r="M312" s="5"/>
      <c r="N312">
        <v>289</v>
      </c>
    </row>
    <row r="313" spans="1:14" x14ac:dyDescent="0.25">
      <c r="A313" t="s">
        <v>232</v>
      </c>
      <c r="B313">
        <f t="shared" si="12"/>
        <v>27</v>
      </c>
      <c r="C313" t="str">
        <f t="shared" si="13"/>
        <v>X6</v>
      </c>
      <c r="D313" t="str">
        <f t="shared" si="14"/>
        <v>A</v>
      </c>
      <c r="J313">
        <v>161</v>
      </c>
      <c r="K313" s="4">
        <v>1</v>
      </c>
      <c r="L313" s="5"/>
      <c r="M313" s="5"/>
      <c r="N313">
        <v>217</v>
      </c>
    </row>
    <row r="314" spans="1:14" x14ac:dyDescent="0.25">
      <c r="A314" t="s">
        <v>316</v>
      </c>
      <c r="B314">
        <f t="shared" si="12"/>
        <v>27</v>
      </c>
      <c r="C314" t="str">
        <f t="shared" si="13"/>
        <v>X6</v>
      </c>
      <c r="D314" t="str">
        <f t="shared" si="14"/>
        <v>B</v>
      </c>
      <c r="J314">
        <v>59</v>
      </c>
      <c r="K314" s="4">
        <v>1</v>
      </c>
      <c r="L314" s="5"/>
      <c r="M314" s="5"/>
    </row>
    <row r="315" spans="1:14" x14ac:dyDescent="0.25">
      <c r="A315" t="s">
        <v>233</v>
      </c>
      <c r="B315">
        <f t="shared" si="12"/>
        <v>30</v>
      </c>
      <c r="C315" t="str">
        <f t="shared" si="13"/>
        <v>X6</v>
      </c>
      <c r="D315" t="str">
        <f t="shared" si="14"/>
        <v>A</v>
      </c>
      <c r="K315" s="3"/>
      <c r="L315" s="3"/>
      <c r="M315" s="3"/>
      <c r="N315">
        <v>129</v>
      </c>
    </row>
    <row r="316" spans="1:14" x14ac:dyDescent="0.25">
      <c r="A316" t="s">
        <v>247</v>
      </c>
      <c r="B316">
        <f t="shared" si="12"/>
        <v>1</v>
      </c>
      <c r="C316" t="str">
        <f t="shared" si="13"/>
        <v>X7</v>
      </c>
      <c r="D316" t="str">
        <f t="shared" si="14"/>
        <v>A</v>
      </c>
      <c r="J316">
        <v>75</v>
      </c>
      <c r="K316" s="4">
        <v>0</v>
      </c>
      <c r="L316" s="5"/>
      <c r="M316" s="5"/>
      <c r="N316">
        <v>0</v>
      </c>
    </row>
    <row r="317" spans="1:14" x14ac:dyDescent="0.25">
      <c r="A317" t="s">
        <v>340</v>
      </c>
      <c r="B317">
        <f t="shared" si="12"/>
        <v>1</v>
      </c>
      <c r="C317" t="str">
        <f t="shared" si="13"/>
        <v>X7</v>
      </c>
      <c r="D317" t="str">
        <f t="shared" si="14"/>
        <v>B</v>
      </c>
      <c r="J317">
        <v>13</v>
      </c>
      <c r="K317" s="4">
        <v>0</v>
      </c>
      <c r="L317" s="5"/>
      <c r="M317" s="5"/>
    </row>
    <row r="318" spans="1:14" x14ac:dyDescent="0.25">
      <c r="A318" t="s">
        <v>234</v>
      </c>
      <c r="B318">
        <f t="shared" si="12"/>
        <v>21</v>
      </c>
      <c r="C318" t="str">
        <f t="shared" si="13"/>
        <v>X7</v>
      </c>
      <c r="D318" t="str">
        <f t="shared" si="14"/>
        <v>A</v>
      </c>
      <c r="J318">
        <v>122</v>
      </c>
      <c r="K318" s="4">
        <v>1</v>
      </c>
      <c r="L318" s="5"/>
      <c r="M318" s="5"/>
      <c r="N318">
        <v>183</v>
      </c>
    </row>
    <row r="319" spans="1:14" x14ac:dyDescent="0.25">
      <c r="A319" t="s">
        <v>235</v>
      </c>
      <c r="B319">
        <f t="shared" si="12"/>
        <v>26</v>
      </c>
      <c r="C319" t="str">
        <f t="shared" si="13"/>
        <v>X7</v>
      </c>
      <c r="D319" t="str">
        <f t="shared" si="14"/>
        <v>A</v>
      </c>
      <c r="J319">
        <v>48</v>
      </c>
      <c r="K319" s="4">
        <v>2</v>
      </c>
      <c r="L319" s="5"/>
      <c r="M319" s="5"/>
      <c r="N319">
        <v>45</v>
      </c>
    </row>
    <row r="320" spans="1:14" x14ac:dyDescent="0.25">
      <c r="A320" t="s">
        <v>236</v>
      </c>
      <c r="B320">
        <f t="shared" si="12"/>
        <v>29</v>
      </c>
      <c r="C320" t="str">
        <f t="shared" si="13"/>
        <v>X7</v>
      </c>
      <c r="D320" t="str">
        <f t="shared" si="14"/>
        <v>A</v>
      </c>
      <c r="J320">
        <v>192</v>
      </c>
      <c r="K320" s="4">
        <v>1</v>
      </c>
      <c r="L320" s="5"/>
      <c r="M320" s="5"/>
      <c r="N320">
        <v>187</v>
      </c>
    </row>
    <row r="321" spans="1:14" x14ac:dyDescent="0.25">
      <c r="A321" t="s">
        <v>237</v>
      </c>
      <c r="B321">
        <f t="shared" si="12"/>
        <v>29</v>
      </c>
      <c r="C321" t="str">
        <f t="shared" si="13"/>
        <v>X7</v>
      </c>
      <c r="D321" t="str">
        <f t="shared" si="14"/>
        <v>B</v>
      </c>
      <c r="K321" s="3"/>
      <c r="L321" s="3"/>
      <c r="M321" s="3"/>
      <c r="N321">
        <v>140</v>
      </c>
    </row>
    <row r="322" spans="1:14" x14ac:dyDescent="0.25">
      <c r="A322" t="s">
        <v>238</v>
      </c>
      <c r="B322">
        <f t="shared" ref="B322:B338" si="15">MID(A322,4,2)+0</f>
        <v>58</v>
      </c>
      <c r="C322" t="str">
        <f t="shared" ref="C322:C338" si="16">LEFT(A322,2)</f>
        <v>X7</v>
      </c>
      <c r="D322" t="str">
        <f t="shared" ref="D322:D338" si="17">RIGHT(A322)</f>
        <v>A</v>
      </c>
      <c r="K322" s="3"/>
      <c r="L322" s="3"/>
      <c r="M322" s="3"/>
      <c r="N322">
        <v>75</v>
      </c>
    </row>
    <row r="323" spans="1:14" x14ac:dyDescent="0.25">
      <c r="A323" t="s">
        <v>239</v>
      </c>
      <c r="B323">
        <f t="shared" si="15"/>
        <v>70</v>
      </c>
      <c r="C323" t="str">
        <f t="shared" si="16"/>
        <v>X7</v>
      </c>
      <c r="D323" t="str">
        <f t="shared" si="17"/>
        <v>A</v>
      </c>
      <c r="K323" s="3"/>
      <c r="L323" s="3"/>
      <c r="M323" s="3"/>
      <c r="N323">
        <v>67</v>
      </c>
    </row>
    <row r="324" spans="1:14" x14ac:dyDescent="0.25">
      <c r="A324" t="s">
        <v>240</v>
      </c>
      <c r="B324">
        <f t="shared" si="15"/>
        <v>70</v>
      </c>
      <c r="C324" t="str">
        <f t="shared" si="16"/>
        <v>X7</v>
      </c>
      <c r="D324" t="str">
        <f t="shared" si="17"/>
        <v>B</v>
      </c>
      <c r="K324" s="3"/>
      <c r="L324" s="3"/>
      <c r="M324" s="3"/>
      <c r="N324">
        <v>119</v>
      </c>
    </row>
    <row r="325" spans="1:14" x14ac:dyDescent="0.25">
      <c r="A325" t="s">
        <v>241</v>
      </c>
      <c r="B325">
        <f t="shared" si="15"/>
        <v>75</v>
      </c>
      <c r="C325" t="str">
        <f t="shared" si="16"/>
        <v>X7</v>
      </c>
      <c r="D325" t="str">
        <f t="shared" si="17"/>
        <v>A</v>
      </c>
      <c r="K325" s="3"/>
      <c r="L325" s="3"/>
      <c r="M325" s="3"/>
      <c r="N325">
        <v>4</v>
      </c>
    </row>
    <row r="326" spans="1:14" x14ac:dyDescent="0.25">
      <c r="A326" t="s">
        <v>242</v>
      </c>
      <c r="B326">
        <f t="shared" si="15"/>
        <v>75</v>
      </c>
      <c r="C326" t="str">
        <f t="shared" si="16"/>
        <v>X7</v>
      </c>
      <c r="D326" t="str">
        <f t="shared" si="17"/>
        <v>A</v>
      </c>
      <c r="K326" s="3"/>
      <c r="L326" s="3"/>
      <c r="M326" s="3"/>
      <c r="N326">
        <v>9</v>
      </c>
    </row>
    <row r="327" spans="1:14" x14ac:dyDescent="0.25">
      <c r="A327" t="s">
        <v>75</v>
      </c>
      <c r="B327">
        <f t="shared" si="15"/>
        <v>3</v>
      </c>
      <c r="C327" t="str">
        <f t="shared" si="16"/>
        <v>Z1</v>
      </c>
      <c r="D327" t="str">
        <f t="shared" si="17"/>
        <v>A</v>
      </c>
      <c r="E327">
        <v>936</v>
      </c>
      <c r="F327">
        <v>400</v>
      </c>
      <c r="G327" s="4">
        <v>2</v>
      </c>
      <c r="H327" s="5"/>
      <c r="I327" s="5"/>
    </row>
    <row r="328" spans="1:14" x14ac:dyDescent="0.25">
      <c r="A328" t="s">
        <v>76</v>
      </c>
      <c r="B328">
        <f t="shared" si="15"/>
        <v>4</v>
      </c>
      <c r="C328" t="str">
        <f t="shared" si="16"/>
        <v>Z1</v>
      </c>
      <c r="D328" t="str">
        <f t="shared" si="17"/>
        <v>A</v>
      </c>
      <c r="E328">
        <v>695</v>
      </c>
      <c r="F328">
        <v>238</v>
      </c>
      <c r="G328" s="4">
        <v>2</v>
      </c>
      <c r="H328" s="5"/>
      <c r="I328" s="5"/>
    </row>
    <row r="329" spans="1:14" x14ac:dyDescent="0.25">
      <c r="A329" t="s">
        <v>77</v>
      </c>
      <c r="B329">
        <f t="shared" si="15"/>
        <v>5</v>
      </c>
      <c r="C329" t="str">
        <f t="shared" si="16"/>
        <v>Z1</v>
      </c>
      <c r="D329" t="str">
        <f t="shared" si="17"/>
        <v>A</v>
      </c>
      <c r="E329">
        <v>764</v>
      </c>
      <c r="F329">
        <v>263</v>
      </c>
      <c r="G329" s="4">
        <v>2</v>
      </c>
      <c r="H329" s="5"/>
      <c r="I329" s="5"/>
    </row>
    <row r="330" spans="1:14" x14ac:dyDescent="0.25">
      <c r="A330" t="s">
        <v>78</v>
      </c>
      <c r="B330">
        <f t="shared" si="15"/>
        <v>7</v>
      </c>
      <c r="C330" t="str">
        <f t="shared" si="16"/>
        <v>Z1</v>
      </c>
      <c r="D330" t="str">
        <f t="shared" si="17"/>
        <v>A</v>
      </c>
      <c r="E330">
        <v>944</v>
      </c>
      <c r="F330">
        <v>409</v>
      </c>
      <c r="G330" s="4">
        <v>2</v>
      </c>
      <c r="H330" s="5"/>
      <c r="I330" s="5"/>
    </row>
    <row r="331" spans="1:14" x14ac:dyDescent="0.25">
      <c r="A331" t="s">
        <v>79</v>
      </c>
      <c r="B331">
        <f t="shared" si="15"/>
        <v>8</v>
      </c>
      <c r="C331" t="str">
        <f t="shared" si="16"/>
        <v>Z1</v>
      </c>
      <c r="D331" t="str">
        <f t="shared" si="17"/>
        <v>A</v>
      </c>
      <c r="E331">
        <v>351</v>
      </c>
      <c r="F331">
        <v>357</v>
      </c>
      <c r="G331" s="4">
        <v>2</v>
      </c>
      <c r="H331" s="5"/>
      <c r="I331" s="5"/>
    </row>
    <row r="332" spans="1:14" x14ac:dyDescent="0.25">
      <c r="A332" t="s">
        <v>80</v>
      </c>
      <c r="B332">
        <f t="shared" si="15"/>
        <v>10</v>
      </c>
      <c r="C332" t="str">
        <f t="shared" si="16"/>
        <v>Z1</v>
      </c>
      <c r="D332" t="str">
        <f t="shared" si="17"/>
        <v>A</v>
      </c>
      <c r="E332">
        <v>504</v>
      </c>
      <c r="F332">
        <v>455</v>
      </c>
      <c r="G332" s="4">
        <v>2</v>
      </c>
      <c r="H332" s="5"/>
      <c r="I332" s="5"/>
    </row>
    <row r="333" spans="1:14" x14ac:dyDescent="0.25">
      <c r="A333" t="s">
        <v>81</v>
      </c>
      <c r="B333">
        <f t="shared" si="15"/>
        <v>8</v>
      </c>
      <c r="C333" t="str">
        <f t="shared" si="16"/>
        <v>Z2</v>
      </c>
      <c r="D333" t="str">
        <f t="shared" si="17"/>
        <v>A</v>
      </c>
      <c r="E333">
        <v>581</v>
      </c>
      <c r="F333">
        <v>389</v>
      </c>
      <c r="G333" s="4">
        <v>2</v>
      </c>
      <c r="H333" s="5"/>
      <c r="I333" s="5"/>
    </row>
    <row r="334" spans="1:14" x14ac:dyDescent="0.25">
      <c r="A334" t="s">
        <v>82</v>
      </c>
      <c r="B334">
        <f t="shared" si="15"/>
        <v>9</v>
      </c>
      <c r="C334" t="str">
        <f t="shared" si="16"/>
        <v>Z2</v>
      </c>
      <c r="D334" t="str">
        <f t="shared" si="17"/>
        <v>A</v>
      </c>
      <c r="E334">
        <v>988</v>
      </c>
      <c r="F334">
        <v>366</v>
      </c>
      <c r="G334" s="4">
        <v>2</v>
      </c>
      <c r="H334" s="5"/>
      <c r="I334" s="5"/>
    </row>
    <row r="335" spans="1:14" x14ac:dyDescent="0.25">
      <c r="A335" t="s">
        <v>83</v>
      </c>
      <c r="B335">
        <f t="shared" si="15"/>
        <v>10</v>
      </c>
      <c r="C335" t="str">
        <f t="shared" si="16"/>
        <v>Z2</v>
      </c>
      <c r="D335" t="str">
        <f t="shared" si="17"/>
        <v>A</v>
      </c>
      <c r="E335">
        <v>1030</v>
      </c>
      <c r="F335">
        <v>536</v>
      </c>
      <c r="G335" s="4">
        <v>2</v>
      </c>
      <c r="H335" s="5"/>
      <c r="I335" s="5"/>
    </row>
    <row r="336" spans="1:14" x14ac:dyDescent="0.25">
      <c r="A336" t="s">
        <v>84</v>
      </c>
      <c r="B336">
        <f t="shared" si="15"/>
        <v>10</v>
      </c>
      <c r="C336" t="str">
        <f t="shared" si="16"/>
        <v>Z2</v>
      </c>
      <c r="D336" t="str">
        <f t="shared" si="17"/>
        <v>B</v>
      </c>
      <c r="E336">
        <v>843</v>
      </c>
      <c r="F336">
        <v>456</v>
      </c>
      <c r="G336" s="4">
        <v>2</v>
      </c>
      <c r="H336" s="5"/>
      <c r="I336" s="5"/>
    </row>
    <row r="337" spans="1:10" x14ac:dyDescent="0.25">
      <c r="A337" t="s">
        <v>85</v>
      </c>
      <c r="B337">
        <f t="shared" si="15"/>
        <v>11</v>
      </c>
      <c r="C337" t="str">
        <f t="shared" si="16"/>
        <v>Z2</v>
      </c>
      <c r="D337" t="str">
        <f t="shared" si="17"/>
        <v>A</v>
      </c>
      <c r="E337">
        <v>743</v>
      </c>
      <c r="F337">
        <v>504</v>
      </c>
      <c r="G337" s="4">
        <v>2</v>
      </c>
      <c r="H337" s="5"/>
      <c r="I337" s="5"/>
    </row>
    <row r="338" spans="1:10" x14ac:dyDescent="0.25">
      <c r="A338" t="s">
        <v>86</v>
      </c>
      <c r="B338">
        <f t="shared" si="15"/>
        <v>12</v>
      </c>
      <c r="C338" t="str">
        <f t="shared" si="16"/>
        <v>Z2</v>
      </c>
      <c r="D338" t="str">
        <f t="shared" si="17"/>
        <v>A</v>
      </c>
      <c r="E338">
        <v>736</v>
      </c>
      <c r="F338">
        <v>399</v>
      </c>
      <c r="G338" s="4">
        <v>2</v>
      </c>
      <c r="H338" s="5"/>
      <c r="I338" s="5"/>
    </row>
    <row r="340" spans="1:10" x14ac:dyDescent="0.25">
      <c r="J340" s="5"/>
    </row>
    <row r="341" spans="1:10" x14ac:dyDescent="0.25">
      <c r="J341" s="5"/>
    </row>
    <row r="342" spans="1:10" x14ac:dyDescent="0.25">
      <c r="J342" s="5"/>
    </row>
    <row r="343" spans="1:10" x14ac:dyDescent="0.25">
      <c r="J343" s="5"/>
    </row>
    <row r="344" spans="1:10" x14ac:dyDescent="0.25">
      <c r="J344" s="5"/>
    </row>
    <row r="345" spans="1:10" x14ac:dyDescent="0.25">
      <c r="J345" s="5"/>
    </row>
    <row r="346" spans="1:10" x14ac:dyDescent="0.25">
      <c r="J346" s="5"/>
    </row>
    <row r="347" spans="1:10" x14ac:dyDescent="0.25">
      <c r="J347" s="5"/>
    </row>
    <row r="348" spans="1:10" x14ac:dyDescent="0.25">
      <c r="J348" s="5"/>
    </row>
    <row r="349" spans="1:10" x14ac:dyDescent="0.25">
      <c r="J349" s="5"/>
    </row>
  </sheetData>
  <sortState ref="A2:K338">
    <sortCondition ref="A2:A3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335"/>
  <sheetViews>
    <sheetView workbookViewId="0">
      <selection sqref="A1:XFD1048576"/>
    </sheetView>
  </sheetViews>
  <sheetFormatPr defaultRowHeight="15" x14ac:dyDescent="0.25"/>
  <cols>
    <col min="1" max="1" width="11.42578125" style="15" bestFit="1" customWidth="1"/>
    <col min="2" max="3" width="11.42578125" style="15" customWidth="1"/>
    <col min="4" max="4" width="9" style="15" bestFit="1" customWidth="1"/>
    <col min="5" max="5" width="8.42578125" style="15" bestFit="1" customWidth="1"/>
    <col min="6" max="6" width="9.42578125" style="15" bestFit="1" customWidth="1"/>
    <col min="7" max="7" width="19.7109375" style="15" bestFit="1" customWidth="1"/>
    <col min="8" max="8" width="17" style="15" bestFit="1" customWidth="1"/>
    <col min="9" max="9" width="19.85546875" style="15" bestFit="1" customWidth="1"/>
    <col min="10" max="10" width="20.5703125" style="15" bestFit="1" customWidth="1"/>
    <col min="11" max="11" width="23.85546875" style="15" bestFit="1" customWidth="1"/>
    <col min="12" max="12" width="17.42578125" style="15" bestFit="1" customWidth="1"/>
    <col min="13" max="13" width="20.140625" style="15" bestFit="1" customWidth="1"/>
    <col min="14" max="14" width="20.85546875" style="15" bestFit="1" customWidth="1"/>
    <col min="15" max="15" width="24.140625" style="15" bestFit="1" customWidth="1"/>
    <col min="16" max="16" width="6.85546875" style="15" bestFit="1" customWidth="1"/>
    <col min="17" max="16384" width="9.140625" style="15"/>
  </cols>
  <sheetData>
    <row r="1" spans="1:17" s="14" customFormat="1" x14ac:dyDescent="0.25">
      <c r="A1" s="14" t="s">
        <v>0</v>
      </c>
      <c r="B1" s="15" t="s">
        <v>383</v>
      </c>
      <c r="C1" s="15" t="s">
        <v>382</v>
      </c>
      <c r="D1" s="14" t="s">
        <v>341</v>
      </c>
      <c r="E1" s="14" t="s">
        <v>343</v>
      </c>
      <c r="F1" s="14" t="s">
        <v>342</v>
      </c>
      <c r="G1" s="14" t="s">
        <v>345</v>
      </c>
      <c r="H1" s="14" t="s">
        <v>1</v>
      </c>
      <c r="I1" s="14" t="s">
        <v>346</v>
      </c>
      <c r="J1" s="14" t="s">
        <v>348</v>
      </c>
      <c r="K1" s="14" t="s">
        <v>349</v>
      </c>
      <c r="L1" s="14" t="s">
        <v>2</v>
      </c>
      <c r="M1" s="14" t="s">
        <v>347</v>
      </c>
      <c r="N1" s="14" t="s">
        <v>350</v>
      </c>
      <c r="O1" s="14" t="s">
        <v>351</v>
      </c>
      <c r="P1" s="14" t="s">
        <v>3</v>
      </c>
      <c r="Q1" s="14" t="s">
        <v>384</v>
      </c>
    </row>
    <row r="2" spans="1:17" s="14" customFormat="1" hidden="1" x14ac:dyDescent="0.25">
      <c r="A2" s="15" t="s">
        <v>4</v>
      </c>
      <c r="B2" s="17">
        <v>-76.426282</v>
      </c>
      <c r="C2" s="17">
        <v>42.934336999999999</v>
      </c>
      <c r="D2" s="15">
        <v>3</v>
      </c>
      <c r="E2" s="15" t="s">
        <v>358</v>
      </c>
      <c r="F2" s="15" t="s">
        <v>359</v>
      </c>
      <c r="G2" s="15">
        <v>196</v>
      </c>
      <c r="H2" s="15">
        <v>17</v>
      </c>
      <c r="I2" s="15">
        <v>0</v>
      </c>
      <c r="J2" s="15" t="s">
        <v>352</v>
      </c>
      <c r="K2" s="15" t="s">
        <v>353</v>
      </c>
      <c r="L2" s="15"/>
      <c r="M2" s="15"/>
      <c r="N2" s="15"/>
      <c r="O2" s="15"/>
      <c r="P2" s="15">
        <v>27</v>
      </c>
      <c r="Q2" s="14" t="str">
        <f>IF(OR(M2&lt;&gt;"", I2&lt;&gt;""), "Y", "")</f>
        <v>Y</v>
      </c>
    </row>
    <row r="3" spans="1:17" s="14" customFormat="1" hidden="1" x14ac:dyDescent="0.25">
      <c r="A3" s="14" t="s">
        <v>5</v>
      </c>
      <c r="B3" s="17">
        <v>-76.425749999999994</v>
      </c>
      <c r="C3" s="17">
        <v>42.934244</v>
      </c>
      <c r="D3" s="14">
        <v>3</v>
      </c>
      <c r="E3" s="14" t="s">
        <v>358</v>
      </c>
      <c r="F3" s="14" t="s">
        <v>360</v>
      </c>
      <c r="G3" s="14">
        <v>206</v>
      </c>
      <c r="H3" s="14">
        <v>16</v>
      </c>
      <c r="I3" s="14">
        <v>0</v>
      </c>
      <c r="J3" s="14" t="s">
        <v>352</v>
      </c>
      <c r="K3" s="14" t="s">
        <v>354</v>
      </c>
      <c r="P3" s="14">
        <v>89</v>
      </c>
      <c r="Q3" s="14" t="str">
        <f t="shared" ref="Q3:Q66" si="0">IF(OR(M3&lt;&gt;"", I3&lt;&gt;""), "Y", "")</f>
        <v>Y</v>
      </c>
    </row>
    <row r="4" spans="1:17" s="14" customFormat="1" hidden="1" x14ac:dyDescent="0.25">
      <c r="A4" s="14" t="s">
        <v>6</v>
      </c>
      <c r="B4" s="17">
        <v>-76.415673999999996</v>
      </c>
      <c r="C4" s="17">
        <v>42.934573999999998</v>
      </c>
      <c r="D4" s="14">
        <v>5</v>
      </c>
      <c r="E4" s="14" t="s">
        <v>358</v>
      </c>
      <c r="F4" s="14" t="s">
        <v>359</v>
      </c>
      <c r="G4" s="14">
        <v>63</v>
      </c>
      <c r="H4" s="14">
        <v>234</v>
      </c>
      <c r="I4" s="14">
        <v>1</v>
      </c>
      <c r="J4" s="14" t="s">
        <v>352</v>
      </c>
      <c r="K4" s="14" t="s">
        <v>355</v>
      </c>
      <c r="P4" s="14">
        <v>11</v>
      </c>
      <c r="Q4" s="14" t="str">
        <f t="shared" si="0"/>
        <v>Y</v>
      </c>
    </row>
    <row r="5" spans="1:17" s="14" customFormat="1" hidden="1" x14ac:dyDescent="0.25">
      <c r="A5" s="14" t="s">
        <v>7</v>
      </c>
      <c r="B5" s="17">
        <v>-76.422425000000004</v>
      </c>
      <c r="C5" s="17">
        <v>42.934502000000002</v>
      </c>
      <c r="D5" s="14">
        <v>5</v>
      </c>
      <c r="E5" s="14" t="s">
        <v>358</v>
      </c>
      <c r="F5" s="14" t="s">
        <v>359</v>
      </c>
      <c r="G5" s="14">
        <v>350</v>
      </c>
      <c r="H5" s="14">
        <v>124</v>
      </c>
      <c r="I5" s="14">
        <v>1</v>
      </c>
      <c r="J5" s="14" t="s">
        <v>352</v>
      </c>
      <c r="K5" s="14" t="s">
        <v>355</v>
      </c>
      <c r="P5" s="14">
        <v>48</v>
      </c>
      <c r="Q5" s="14" t="str">
        <f t="shared" si="0"/>
        <v>Y</v>
      </c>
    </row>
    <row r="6" spans="1:17" s="14" customFormat="1" hidden="1" x14ac:dyDescent="0.25">
      <c r="A6" s="14" t="s">
        <v>8</v>
      </c>
      <c r="B6" s="17">
        <v>-76.422658999999996</v>
      </c>
      <c r="C6" s="17">
        <v>42.934376</v>
      </c>
      <c r="D6" s="14">
        <v>5</v>
      </c>
      <c r="E6" s="14" t="s">
        <v>358</v>
      </c>
      <c r="F6" s="14" t="s">
        <v>360</v>
      </c>
      <c r="G6" s="14">
        <v>219</v>
      </c>
      <c r="H6" s="14">
        <v>0</v>
      </c>
      <c r="I6" s="14">
        <v>0</v>
      </c>
      <c r="J6" s="14" t="s">
        <v>352</v>
      </c>
      <c r="K6" s="14" t="s">
        <v>356</v>
      </c>
      <c r="P6" s="14">
        <v>71</v>
      </c>
      <c r="Q6" s="14" t="str">
        <f t="shared" si="0"/>
        <v>Y</v>
      </c>
    </row>
    <row r="7" spans="1:17" s="14" customFormat="1" hidden="1" x14ac:dyDescent="0.25">
      <c r="A7" s="14" t="s">
        <v>9</v>
      </c>
      <c r="B7" s="17">
        <v>-76.416133000000002</v>
      </c>
      <c r="C7" s="17">
        <v>42.934376</v>
      </c>
      <c r="D7" s="14">
        <v>6</v>
      </c>
      <c r="E7" s="14" t="s">
        <v>358</v>
      </c>
      <c r="F7" s="14" t="s">
        <v>359</v>
      </c>
      <c r="G7" s="14">
        <v>160</v>
      </c>
      <c r="H7" s="14">
        <v>186</v>
      </c>
      <c r="I7" s="14">
        <v>2</v>
      </c>
      <c r="J7" s="14" t="s">
        <v>352</v>
      </c>
      <c r="K7" s="14" t="s">
        <v>355</v>
      </c>
      <c r="P7" s="14">
        <v>191</v>
      </c>
      <c r="Q7" s="14" t="str">
        <f t="shared" si="0"/>
        <v>Y</v>
      </c>
    </row>
    <row r="8" spans="1:17" s="14" customFormat="1" x14ac:dyDescent="0.25">
      <c r="A8" s="14" t="s">
        <v>248</v>
      </c>
      <c r="B8" s="17">
        <v>-76.427786999999995</v>
      </c>
      <c r="C8" s="17">
        <v>42.920411000000001</v>
      </c>
      <c r="D8" s="14">
        <v>1</v>
      </c>
      <c r="E8" s="14" t="s">
        <v>369</v>
      </c>
      <c r="F8" s="14" t="s">
        <v>359</v>
      </c>
      <c r="L8" s="14">
        <v>104</v>
      </c>
      <c r="M8" s="14">
        <v>2</v>
      </c>
      <c r="N8" s="14" t="s">
        <v>357</v>
      </c>
      <c r="O8" s="14" t="s">
        <v>355</v>
      </c>
      <c r="Q8" s="14" t="str">
        <f t="shared" si="0"/>
        <v>Y</v>
      </c>
    </row>
    <row r="9" spans="1:17" s="14" customFormat="1" x14ac:dyDescent="0.25">
      <c r="A9" s="14" t="s">
        <v>249</v>
      </c>
      <c r="B9" s="17">
        <v>-76.427786999999995</v>
      </c>
      <c r="C9" s="17">
        <v>42.920411000000001</v>
      </c>
      <c r="D9" s="14">
        <v>1</v>
      </c>
      <c r="E9" s="14" t="s">
        <v>369</v>
      </c>
      <c r="F9" s="14" t="s">
        <v>360</v>
      </c>
      <c r="L9" s="14">
        <v>105</v>
      </c>
      <c r="M9" s="14">
        <v>2</v>
      </c>
      <c r="N9" s="14" t="s">
        <v>357</v>
      </c>
      <c r="O9" s="14" t="s">
        <v>355</v>
      </c>
      <c r="Q9" s="14" t="str">
        <f t="shared" si="0"/>
        <v>Y</v>
      </c>
    </row>
    <row r="10" spans="1:17" s="14" customFormat="1" x14ac:dyDescent="0.25">
      <c r="A10" s="14" t="s">
        <v>250</v>
      </c>
      <c r="B10" s="17">
        <v>-76.427786999999995</v>
      </c>
      <c r="C10" s="17">
        <v>42.920411000000001</v>
      </c>
      <c r="D10" s="14">
        <v>1</v>
      </c>
      <c r="E10" s="14" t="s">
        <v>369</v>
      </c>
      <c r="F10" s="14" t="s">
        <v>366</v>
      </c>
      <c r="L10" s="14">
        <v>184</v>
      </c>
      <c r="M10" s="14">
        <v>2</v>
      </c>
      <c r="N10" s="14" t="s">
        <v>357</v>
      </c>
      <c r="O10" s="14" t="s">
        <v>355</v>
      </c>
      <c r="Q10" s="14" t="str">
        <f t="shared" si="0"/>
        <v>Y</v>
      </c>
    </row>
    <row r="11" spans="1:17" s="14" customFormat="1" x14ac:dyDescent="0.25">
      <c r="A11" s="14" t="s">
        <v>87</v>
      </c>
      <c r="B11" s="17">
        <v>-76.406976</v>
      </c>
      <c r="C11" s="17">
        <v>42.922662000000003</v>
      </c>
      <c r="D11" s="14">
        <v>2</v>
      </c>
      <c r="E11" s="14" t="s">
        <v>369</v>
      </c>
      <c r="F11" s="14" t="s">
        <v>359</v>
      </c>
      <c r="L11" s="14">
        <v>231</v>
      </c>
      <c r="M11" s="14">
        <v>2</v>
      </c>
      <c r="N11" s="14" t="s">
        <v>357</v>
      </c>
      <c r="O11" s="14" t="s">
        <v>355</v>
      </c>
      <c r="P11" s="14">
        <v>16</v>
      </c>
      <c r="Q11" s="14" t="str">
        <f t="shared" si="0"/>
        <v>Y</v>
      </c>
    </row>
    <row r="12" spans="1:17" s="14" customFormat="1" x14ac:dyDescent="0.25">
      <c r="A12" s="14" t="s">
        <v>251</v>
      </c>
      <c r="B12" s="17">
        <v>-76.406976</v>
      </c>
      <c r="C12" s="17">
        <v>42.922662000000003</v>
      </c>
      <c r="D12" s="14">
        <v>2</v>
      </c>
      <c r="E12" s="14" t="s">
        <v>369</v>
      </c>
      <c r="F12" s="14" t="s">
        <v>360</v>
      </c>
      <c r="L12" s="14">
        <v>131</v>
      </c>
      <c r="M12" s="14">
        <v>1</v>
      </c>
      <c r="N12" s="14" t="s">
        <v>357</v>
      </c>
      <c r="O12" s="14" t="s">
        <v>354</v>
      </c>
      <c r="Q12" s="14" t="str">
        <f t="shared" si="0"/>
        <v>Y</v>
      </c>
    </row>
    <row r="13" spans="1:17" s="14" customFormat="1" x14ac:dyDescent="0.25">
      <c r="A13" s="14" t="s">
        <v>88</v>
      </c>
      <c r="B13" s="17">
        <v>-76.427498999999997</v>
      </c>
      <c r="C13" s="17">
        <v>42.920397999999999</v>
      </c>
      <c r="D13" s="14">
        <v>2</v>
      </c>
      <c r="E13" s="14" t="s">
        <v>369</v>
      </c>
      <c r="F13" s="14" t="s">
        <v>359</v>
      </c>
      <c r="L13" s="14">
        <v>0</v>
      </c>
      <c r="M13" s="14">
        <v>0</v>
      </c>
      <c r="N13" s="14" t="s">
        <v>352</v>
      </c>
      <c r="O13" s="14" t="s">
        <v>356</v>
      </c>
      <c r="P13" s="14">
        <v>140</v>
      </c>
      <c r="Q13" s="14" t="str">
        <f t="shared" si="0"/>
        <v>Y</v>
      </c>
    </row>
    <row r="14" spans="1:17" s="14" customFormat="1" x14ac:dyDescent="0.25">
      <c r="A14" s="14" t="s">
        <v>317</v>
      </c>
      <c r="B14" s="17">
        <v>-76.427498999999997</v>
      </c>
      <c r="C14" s="17">
        <v>42.920397999999999</v>
      </c>
      <c r="D14" s="14">
        <v>2</v>
      </c>
      <c r="E14" s="14" t="s">
        <v>369</v>
      </c>
      <c r="F14" s="14" t="s">
        <v>360</v>
      </c>
      <c r="L14" s="14">
        <v>0</v>
      </c>
      <c r="M14" s="14">
        <v>0</v>
      </c>
      <c r="N14" s="14" t="s">
        <v>352</v>
      </c>
      <c r="O14" s="14" t="s">
        <v>378</v>
      </c>
      <c r="Q14" s="14" t="str">
        <f t="shared" si="0"/>
        <v>Y</v>
      </c>
    </row>
    <row r="15" spans="1:17" s="14" customFormat="1" x14ac:dyDescent="0.25">
      <c r="A15" s="14" t="s">
        <v>318</v>
      </c>
      <c r="B15" s="17">
        <v>-76.410066999999998</v>
      </c>
      <c r="C15" s="17">
        <v>42.922925999999997</v>
      </c>
      <c r="D15" s="14">
        <v>3</v>
      </c>
      <c r="E15" s="14" t="s">
        <v>369</v>
      </c>
      <c r="F15" s="14" t="s">
        <v>359</v>
      </c>
      <c r="L15" s="14">
        <v>86</v>
      </c>
      <c r="M15" s="14">
        <v>0</v>
      </c>
      <c r="N15" s="14" t="s">
        <v>352</v>
      </c>
      <c r="O15" s="14" t="s">
        <v>353</v>
      </c>
      <c r="Q15" s="14" t="str">
        <f t="shared" si="0"/>
        <v>Y</v>
      </c>
    </row>
    <row r="16" spans="1:17" s="14" customFormat="1" x14ac:dyDescent="0.25">
      <c r="A16" s="14" t="s">
        <v>252</v>
      </c>
      <c r="B16" s="17">
        <v>-76.410066999999998</v>
      </c>
      <c r="C16" s="17">
        <v>42.922925999999997</v>
      </c>
      <c r="D16" s="14">
        <v>3</v>
      </c>
      <c r="E16" s="14" t="s">
        <v>369</v>
      </c>
      <c r="F16" s="14" t="s">
        <v>360</v>
      </c>
      <c r="L16" s="14">
        <v>91</v>
      </c>
      <c r="M16" s="14">
        <v>0</v>
      </c>
      <c r="N16" s="14" t="s">
        <v>352</v>
      </c>
      <c r="O16" s="14" t="s">
        <v>354</v>
      </c>
      <c r="Q16" s="14" t="str">
        <f t="shared" si="0"/>
        <v>Y</v>
      </c>
    </row>
    <row r="17" spans="1:17" s="14" customFormat="1" x14ac:dyDescent="0.25">
      <c r="A17" s="14" t="s">
        <v>89</v>
      </c>
      <c r="B17" s="17">
        <v>-76.427256</v>
      </c>
      <c r="C17" s="17">
        <v>42.920575999999997</v>
      </c>
      <c r="D17" s="14">
        <v>3</v>
      </c>
      <c r="E17" s="14" t="s">
        <v>369</v>
      </c>
      <c r="F17" s="14" t="s">
        <v>359</v>
      </c>
      <c r="L17" s="14">
        <v>56</v>
      </c>
      <c r="M17" s="14">
        <v>0</v>
      </c>
      <c r="N17" s="14" t="s">
        <v>352</v>
      </c>
      <c r="O17" s="14" t="s">
        <v>353</v>
      </c>
      <c r="P17" s="14">
        <v>31</v>
      </c>
      <c r="Q17" s="14" t="str">
        <f t="shared" si="0"/>
        <v>Y</v>
      </c>
    </row>
    <row r="18" spans="1:17" s="14" customFormat="1" x14ac:dyDescent="0.25">
      <c r="A18" s="14" t="s">
        <v>319</v>
      </c>
      <c r="B18" s="17">
        <v>-76.427256</v>
      </c>
      <c r="C18" s="17">
        <v>42.920575999999997</v>
      </c>
      <c r="D18" s="14">
        <v>3</v>
      </c>
      <c r="E18" s="14" t="s">
        <v>369</v>
      </c>
      <c r="F18" s="14" t="s">
        <v>360</v>
      </c>
      <c r="L18" s="14">
        <v>54</v>
      </c>
      <c r="M18" s="14">
        <v>0</v>
      </c>
      <c r="N18" s="14" t="s">
        <v>352</v>
      </c>
      <c r="O18" s="14" t="s">
        <v>353</v>
      </c>
      <c r="Q18" s="14" t="str">
        <f t="shared" si="0"/>
        <v>Y</v>
      </c>
    </row>
    <row r="19" spans="1:17" s="14" customFormat="1" x14ac:dyDescent="0.25">
      <c r="A19" s="14" t="s">
        <v>253</v>
      </c>
      <c r="B19" s="17">
        <v>-76.413158999999993</v>
      </c>
      <c r="C19" s="17">
        <v>42.922714999999997</v>
      </c>
      <c r="D19" s="14">
        <v>5</v>
      </c>
      <c r="E19" s="14" t="s">
        <v>369</v>
      </c>
      <c r="F19" s="14" t="s">
        <v>359</v>
      </c>
      <c r="L19" s="14">
        <v>221</v>
      </c>
      <c r="M19" s="14">
        <v>1</v>
      </c>
      <c r="N19" s="14" t="s">
        <v>352</v>
      </c>
      <c r="O19" s="14" t="s">
        <v>355</v>
      </c>
      <c r="Q19" s="14" t="str">
        <f t="shared" si="0"/>
        <v>Y</v>
      </c>
    </row>
    <row r="20" spans="1:17" s="14" customFormat="1" x14ac:dyDescent="0.25">
      <c r="A20" s="14" t="s">
        <v>254</v>
      </c>
      <c r="B20" s="17">
        <v>-76.413158999999993</v>
      </c>
      <c r="C20" s="17">
        <v>42.922714999999997</v>
      </c>
      <c r="D20" s="14">
        <v>5</v>
      </c>
      <c r="E20" s="14" t="s">
        <v>369</v>
      </c>
      <c r="F20" s="14" t="s">
        <v>360</v>
      </c>
      <c r="L20" s="14">
        <v>44</v>
      </c>
      <c r="M20" s="14">
        <v>1</v>
      </c>
      <c r="N20" s="14" t="s">
        <v>352</v>
      </c>
      <c r="O20" s="14" t="s">
        <v>355</v>
      </c>
      <c r="Q20" s="14" t="str">
        <f t="shared" si="0"/>
        <v>Y</v>
      </c>
    </row>
    <row r="21" spans="1:17" s="14" customFormat="1" x14ac:dyDescent="0.25">
      <c r="A21" s="14" t="s">
        <v>255</v>
      </c>
      <c r="B21" s="17">
        <v>-76.413158999999993</v>
      </c>
      <c r="C21" s="17">
        <v>42.922714999999997</v>
      </c>
      <c r="D21" s="14">
        <v>5</v>
      </c>
      <c r="E21" s="14" t="s">
        <v>369</v>
      </c>
      <c r="F21" s="14" t="s">
        <v>366</v>
      </c>
      <c r="L21" s="14">
        <v>41</v>
      </c>
      <c r="M21" s="14">
        <v>0</v>
      </c>
      <c r="N21" s="14" t="s">
        <v>352</v>
      </c>
      <c r="O21" s="14" t="s">
        <v>356</v>
      </c>
      <c r="Q21" s="14" t="str">
        <f t="shared" si="0"/>
        <v>Y</v>
      </c>
    </row>
    <row r="22" spans="1:17" s="14" customFormat="1" x14ac:dyDescent="0.25">
      <c r="A22" s="14" t="s">
        <v>256</v>
      </c>
      <c r="B22" s="17">
        <v>-76.413158999999993</v>
      </c>
      <c r="C22" s="17">
        <v>42.922714999999997</v>
      </c>
      <c r="D22" s="14">
        <v>5</v>
      </c>
      <c r="E22" s="14" t="s">
        <v>369</v>
      </c>
      <c r="F22" s="14" t="s">
        <v>370</v>
      </c>
      <c r="L22" s="14">
        <v>342</v>
      </c>
      <c r="M22" s="14">
        <v>1</v>
      </c>
      <c r="N22" s="14" t="s">
        <v>352</v>
      </c>
      <c r="O22" s="14" t="s">
        <v>355</v>
      </c>
      <c r="Q22" s="14" t="str">
        <f t="shared" si="0"/>
        <v>Y</v>
      </c>
    </row>
    <row r="23" spans="1:17" s="14" customFormat="1" x14ac:dyDescent="0.25">
      <c r="A23" s="14" t="s">
        <v>90</v>
      </c>
      <c r="B23" s="17">
        <v>-76.426877000000005</v>
      </c>
      <c r="C23" s="17">
        <v>42.920867000000001</v>
      </c>
      <c r="D23" s="14">
        <v>5</v>
      </c>
      <c r="E23" s="14" t="s">
        <v>369</v>
      </c>
      <c r="F23" s="14" t="s">
        <v>359</v>
      </c>
      <c r="L23" s="14">
        <v>0</v>
      </c>
      <c r="M23" s="14">
        <v>0</v>
      </c>
      <c r="N23" s="14" t="s">
        <v>352</v>
      </c>
      <c r="O23" s="14" t="s">
        <v>356</v>
      </c>
      <c r="P23" s="14">
        <v>600</v>
      </c>
      <c r="Q23" s="14" t="str">
        <f t="shared" si="0"/>
        <v>Y</v>
      </c>
    </row>
    <row r="24" spans="1:17" s="14" customFormat="1" x14ac:dyDescent="0.25">
      <c r="A24" s="14" t="s">
        <v>320</v>
      </c>
      <c r="B24" s="17">
        <v>-76.426877000000005</v>
      </c>
      <c r="C24" s="17">
        <v>42.920867000000001</v>
      </c>
      <c r="D24" s="14">
        <v>5</v>
      </c>
      <c r="E24" s="14" t="s">
        <v>369</v>
      </c>
      <c r="F24" s="14" t="s">
        <v>360</v>
      </c>
      <c r="L24" s="14">
        <v>0</v>
      </c>
      <c r="M24" s="14">
        <v>1</v>
      </c>
      <c r="N24" s="14" t="s">
        <v>352</v>
      </c>
      <c r="O24" s="14" t="s">
        <v>378</v>
      </c>
      <c r="Q24" s="14" t="str">
        <f t="shared" si="0"/>
        <v>Y</v>
      </c>
    </row>
    <row r="25" spans="1:17" s="14" customFormat="1" x14ac:dyDescent="0.25">
      <c r="A25" s="14" t="s">
        <v>91</v>
      </c>
      <c r="B25" s="17">
        <v>-76.413816999999995</v>
      </c>
      <c r="C25" s="17">
        <v>42.922899000000001</v>
      </c>
      <c r="D25" s="14">
        <v>8</v>
      </c>
      <c r="E25" s="14" t="s">
        <v>369</v>
      </c>
      <c r="F25" s="14" t="s">
        <v>359</v>
      </c>
      <c r="L25" s="14">
        <v>0</v>
      </c>
      <c r="M25" s="14">
        <v>0</v>
      </c>
      <c r="N25" s="14" t="s">
        <v>352</v>
      </c>
      <c r="O25" s="14" t="s">
        <v>356</v>
      </c>
      <c r="P25" s="14">
        <v>996</v>
      </c>
      <c r="Q25" s="14" t="str">
        <f t="shared" si="0"/>
        <v>Y</v>
      </c>
    </row>
    <row r="26" spans="1:17" s="14" customFormat="1" x14ac:dyDescent="0.25">
      <c r="A26" s="14" t="s">
        <v>321</v>
      </c>
      <c r="B26" s="17">
        <v>-76.413816999999995</v>
      </c>
      <c r="C26" s="17">
        <v>42.922899000000001</v>
      </c>
      <c r="D26" s="14">
        <v>8</v>
      </c>
      <c r="E26" s="14" t="s">
        <v>369</v>
      </c>
      <c r="F26" s="14" t="s">
        <v>360</v>
      </c>
      <c r="L26" s="14">
        <v>0</v>
      </c>
      <c r="M26" s="14">
        <v>0</v>
      </c>
      <c r="N26" s="14" t="s">
        <v>352</v>
      </c>
      <c r="O26" s="14" t="s">
        <v>378</v>
      </c>
      <c r="Q26" s="14" t="str">
        <f t="shared" si="0"/>
        <v>Y</v>
      </c>
    </row>
    <row r="27" spans="1:17" s="14" customFormat="1" x14ac:dyDescent="0.25">
      <c r="A27" s="14" t="s">
        <v>92</v>
      </c>
      <c r="B27" s="17">
        <v>-76.426507999999998</v>
      </c>
      <c r="C27" s="17">
        <v>42.921123999999999</v>
      </c>
      <c r="D27" s="14">
        <v>8</v>
      </c>
      <c r="E27" s="14" t="s">
        <v>369</v>
      </c>
      <c r="F27" s="14" t="s">
        <v>359</v>
      </c>
      <c r="L27" s="14">
        <v>192</v>
      </c>
      <c r="M27" s="14">
        <v>1</v>
      </c>
      <c r="N27" s="14" t="s">
        <v>352</v>
      </c>
      <c r="O27" s="14" t="s">
        <v>355</v>
      </c>
      <c r="P27" s="14">
        <v>145</v>
      </c>
      <c r="Q27" s="14" t="str">
        <f t="shared" si="0"/>
        <v>Y</v>
      </c>
    </row>
    <row r="28" spans="1:17" s="14" customFormat="1" x14ac:dyDescent="0.25">
      <c r="A28" s="14" t="s">
        <v>257</v>
      </c>
      <c r="B28" s="17">
        <v>-76.426507999999998</v>
      </c>
      <c r="C28" s="17">
        <v>42.921123999999999</v>
      </c>
      <c r="D28" s="14">
        <v>8</v>
      </c>
      <c r="E28" s="14" t="s">
        <v>369</v>
      </c>
      <c r="F28" s="14" t="s">
        <v>360</v>
      </c>
      <c r="L28" s="14">
        <v>99</v>
      </c>
      <c r="M28" s="14">
        <v>1</v>
      </c>
      <c r="N28" s="14" t="s">
        <v>352</v>
      </c>
      <c r="O28" s="14" t="s">
        <v>355</v>
      </c>
      <c r="Q28" s="14" t="str">
        <f t="shared" si="0"/>
        <v>Y</v>
      </c>
    </row>
    <row r="29" spans="1:17" s="14" customFormat="1" x14ac:dyDescent="0.25">
      <c r="A29" s="14" t="s">
        <v>93</v>
      </c>
      <c r="B29" s="17">
        <v>-76.424533999999994</v>
      </c>
      <c r="C29" s="17">
        <v>42.922286</v>
      </c>
      <c r="D29" s="14">
        <v>10</v>
      </c>
      <c r="E29" s="14" t="s">
        <v>369</v>
      </c>
      <c r="F29" s="14" t="s">
        <v>359</v>
      </c>
      <c r="L29" s="14">
        <v>0</v>
      </c>
      <c r="M29" s="14">
        <v>0</v>
      </c>
      <c r="N29" s="14" t="s">
        <v>352</v>
      </c>
      <c r="O29" s="14" t="s">
        <v>356</v>
      </c>
      <c r="P29" s="14">
        <v>175</v>
      </c>
      <c r="Q29" s="14" t="str">
        <f t="shared" si="0"/>
        <v>Y</v>
      </c>
    </row>
    <row r="30" spans="1:17" s="14" customFormat="1" x14ac:dyDescent="0.25">
      <c r="A30" s="14" t="s">
        <v>322</v>
      </c>
      <c r="B30" s="17">
        <v>-76.424533999999994</v>
      </c>
      <c r="C30" s="17">
        <v>42.922286</v>
      </c>
      <c r="D30" s="14">
        <v>10</v>
      </c>
      <c r="E30" s="14" t="s">
        <v>369</v>
      </c>
      <c r="F30" s="14" t="s">
        <v>360</v>
      </c>
      <c r="L30" s="14">
        <v>0</v>
      </c>
      <c r="M30" s="14">
        <v>0</v>
      </c>
      <c r="N30" s="14" t="s">
        <v>352</v>
      </c>
      <c r="O30" s="14" t="s">
        <v>378</v>
      </c>
      <c r="Q30" s="14" t="str">
        <f t="shared" si="0"/>
        <v>Y</v>
      </c>
    </row>
    <row r="31" spans="1:17" s="14" customFormat="1" x14ac:dyDescent="0.25">
      <c r="A31" s="14" t="s">
        <v>94</v>
      </c>
      <c r="B31" s="17">
        <v>-76.414015000000006</v>
      </c>
      <c r="C31" s="17">
        <v>42.922820000000002</v>
      </c>
      <c r="D31" s="14">
        <v>11</v>
      </c>
      <c r="E31" s="14" t="s">
        <v>369</v>
      </c>
      <c r="F31" s="14" t="s">
        <v>359</v>
      </c>
      <c r="L31" s="14">
        <v>142</v>
      </c>
      <c r="M31" s="14">
        <v>1</v>
      </c>
      <c r="N31" s="14" t="s">
        <v>352</v>
      </c>
      <c r="O31" s="14" t="s">
        <v>355</v>
      </c>
      <c r="P31" s="14">
        <v>89</v>
      </c>
      <c r="Q31" s="14" t="str">
        <f t="shared" si="0"/>
        <v>Y</v>
      </c>
    </row>
    <row r="32" spans="1:17" s="14" customFormat="1" x14ac:dyDescent="0.25">
      <c r="A32" s="14" t="s">
        <v>323</v>
      </c>
      <c r="B32" s="17">
        <v>-76.414015000000006</v>
      </c>
      <c r="C32" s="17">
        <v>42.922820000000002</v>
      </c>
      <c r="D32" s="14">
        <v>11</v>
      </c>
      <c r="E32" s="14" t="s">
        <v>369</v>
      </c>
      <c r="F32" s="14" t="s">
        <v>360</v>
      </c>
      <c r="L32" s="14">
        <v>39</v>
      </c>
      <c r="M32" s="14">
        <v>1</v>
      </c>
      <c r="N32" s="14" t="s">
        <v>352</v>
      </c>
      <c r="O32" s="14" t="s">
        <v>355</v>
      </c>
      <c r="Q32" s="14" t="str">
        <f t="shared" si="0"/>
        <v>Y</v>
      </c>
    </row>
    <row r="33" spans="1:17" s="14" customFormat="1" x14ac:dyDescent="0.25">
      <c r="A33" s="14" t="s">
        <v>95</v>
      </c>
      <c r="B33" s="17">
        <v>-76.414357999999993</v>
      </c>
      <c r="C33" s="17">
        <v>42.922820000000002</v>
      </c>
      <c r="D33" s="14">
        <v>14</v>
      </c>
      <c r="E33" s="14" t="s">
        <v>369</v>
      </c>
      <c r="F33" s="14" t="s">
        <v>359</v>
      </c>
      <c r="L33" s="14">
        <v>17</v>
      </c>
      <c r="M33" s="14">
        <v>0</v>
      </c>
      <c r="N33" s="14" t="s">
        <v>352</v>
      </c>
      <c r="O33" s="14" t="s">
        <v>356</v>
      </c>
      <c r="P33" s="14">
        <v>61</v>
      </c>
      <c r="Q33" s="14" t="str">
        <f t="shared" si="0"/>
        <v>Y</v>
      </c>
    </row>
    <row r="34" spans="1:17" s="14" customFormat="1" x14ac:dyDescent="0.25">
      <c r="A34" s="14" t="s">
        <v>324</v>
      </c>
      <c r="B34" s="17">
        <v>-76.414357999999993</v>
      </c>
      <c r="C34" s="17">
        <v>42.922820000000002</v>
      </c>
      <c r="D34" s="14">
        <v>14</v>
      </c>
      <c r="E34" s="14" t="s">
        <v>369</v>
      </c>
      <c r="F34" s="14" t="s">
        <v>360</v>
      </c>
      <c r="L34" s="14">
        <v>42</v>
      </c>
      <c r="M34" s="14">
        <v>0</v>
      </c>
      <c r="N34" s="14" t="s">
        <v>352</v>
      </c>
      <c r="O34" s="14" t="s">
        <v>354</v>
      </c>
      <c r="Q34" s="14" t="str">
        <f t="shared" si="0"/>
        <v>Y</v>
      </c>
    </row>
    <row r="35" spans="1:17" s="14" customFormat="1" x14ac:dyDescent="0.25">
      <c r="A35" s="14" t="s">
        <v>96</v>
      </c>
      <c r="B35" s="17">
        <v>-76.420936999999995</v>
      </c>
      <c r="C35" s="17">
        <v>42.922873000000003</v>
      </c>
      <c r="D35" s="14">
        <v>14</v>
      </c>
      <c r="E35" s="14" t="s">
        <v>369</v>
      </c>
      <c r="F35" s="14" t="s">
        <v>359</v>
      </c>
      <c r="L35" s="14">
        <v>182</v>
      </c>
      <c r="M35" s="14">
        <v>2</v>
      </c>
      <c r="N35" s="14" t="s">
        <v>352</v>
      </c>
      <c r="O35" s="14" t="s">
        <v>355</v>
      </c>
      <c r="P35" s="14">
        <v>226</v>
      </c>
      <c r="Q35" s="14" t="str">
        <f t="shared" si="0"/>
        <v>Y</v>
      </c>
    </row>
    <row r="36" spans="1:17" s="14" customFormat="1" x14ac:dyDescent="0.25">
      <c r="A36" s="14" t="s">
        <v>258</v>
      </c>
      <c r="B36" s="17">
        <v>-76.420936999999995</v>
      </c>
      <c r="C36" s="17">
        <v>42.922873000000003</v>
      </c>
      <c r="D36" s="14">
        <v>14</v>
      </c>
      <c r="E36" s="14" t="s">
        <v>369</v>
      </c>
      <c r="F36" s="14" t="s">
        <v>360</v>
      </c>
      <c r="L36" s="14">
        <v>204</v>
      </c>
      <c r="M36" s="14">
        <v>2</v>
      </c>
      <c r="N36" s="14" t="s">
        <v>352</v>
      </c>
      <c r="O36" s="14" t="s">
        <v>355</v>
      </c>
      <c r="Q36" s="14" t="str">
        <f t="shared" si="0"/>
        <v>Y</v>
      </c>
    </row>
    <row r="37" spans="1:17" s="14" customFormat="1" x14ac:dyDescent="0.25">
      <c r="A37" s="14" t="s">
        <v>97</v>
      </c>
      <c r="B37" s="17">
        <v>-76.414799000000002</v>
      </c>
      <c r="C37" s="17">
        <v>42.923077999999997</v>
      </c>
      <c r="D37" s="14">
        <v>17</v>
      </c>
      <c r="E37" s="14" t="s">
        <v>369</v>
      </c>
      <c r="F37" s="14" t="s">
        <v>359</v>
      </c>
      <c r="L37" s="14">
        <v>209</v>
      </c>
      <c r="M37" s="14">
        <v>2</v>
      </c>
      <c r="N37" s="14" t="s">
        <v>352</v>
      </c>
      <c r="O37" s="14" t="s">
        <v>355</v>
      </c>
      <c r="P37" s="14">
        <v>38</v>
      </c>
      <c r="Q37" s="14" t="str">
        <f t="shared" si="0"/>
        <v>Y</v>
      </c>
    </row>
    <row r="38" spans="1:17" s="14" customFormat="1" x14ac:dyDescent="0.25">
      <c r="A38" s="14" t="s">
        <v>259</v>
      </c>
      <c r="B38" s="17">
        <v>-76.414799000000002</v>
      </c>
      <c r="C38" s="17">
        <v>42.923077999999997</v>
      </c>
      <c r="D38" s="14">
        <v>17</v>
      </c>
      <c r="E38" s="14" t="s">
        <v>369</v>
      </c>
      <c r="F38" s="14" t="s">
        <v>360</v>
      </c>
      <c r="L38" s="14">
        <v>332</v>
      </c>
      <c r="M38" s="14">
        <v>2</v>
      </c>
      <c r="N38" s="14" t="s">
        <v>352</v>
      </c>
      <c r="O38" s="14" t="s">
        <v>355</v>
      </c>
      <c r="Q38" s="14" t="str">
        <f t="shared" si="0"/>
        <v>Y</v>
      </c>
    </row>
    <row r="39" spans="1:17" s="14" customFormat="1" x14ac:dyDescent="0.25">
      <c r="A39" s="14" t="s">
        <v>98</v>
      </c>
      <c r="B39" s="17">
        <v>-76.420468999999997</v>
      </c>
      <c r="C39" s="17">
        <v>42.922832999999997</v>
      </c>
      <c r="D39" s="14">
        <v>17</v>
      </c>
      <c r="E39" s="14" t="s">
        <v>369</v>
      </c>
      <c r="F39" s="14" t="s">
        <v>359</v>
      </c>
      <c r="L39" s="14">
        <v>159</v>
      </c>
      <c r="M39" s="14">
        <v>2</v>
      </c>
      <c r="N39" s="14" t="s">
        <v>352</v>
      </c>
      <c r="O39" s="14" t="s">
        <v>355</v>
      </c>
      <c r="P39" s="14">
        <v>112</v>
      </c>
      <c r="Q39" s="14" t="str">
        <f t="shared" si="0"/>
        <v>Y</v>
      </c>
    </row>
    <row r="40" spans="1:17" s="14" customFormat="1" x14ac:dyDescent="0.25">
      <c r="A40" s="14" t="s">
        <v>260</v>
      </c>
      <c r="B40" s="17">
        <v>-76.420468999999997</v>
      </c>
      <c r="C40" s="17">
        <v>42.922832999999997</v>
      </c>
      <c r="D40" s="14">
        <v>17</v>
      </c>
      <c r="E40" s="14" t="s">
        <v>369</v>
      </c>
      <c r="F40" s="14" t="s">
        <v>360</v>
      </c>
      <c r="L40" s="14">
        <v>113</v>
      </c>
      <c r="M40" s="14">
        <v>1</v>
      </c>
      <c r="N40" s="14" t="s">
        <v>352</v>
      </c>
      <c r="O40" s="14" t="s">
        <v>355</v>
      </c>
      <c r="Q40" s="14" t="str">
        <f t="shared" si="0"/>
        <v>Y</v>
      </c>
    </row>
    <row r="41" spans="1:17" s="14" customFormat="1" x14ac:dyDescent="0.25">
      <c r="A41" s="14" t="s">
        <v>99</v>
      </c>
      <c r="B41" s="17">
        <v>-76.415925999999999</v>
      </c>
      <c r="C41" s="17">
        <v>42.922840000000001</v>
      </c>
      <c r="D41" s="14">
        <v>21</v>
      </c>
      <c r="E41" s="14" t="s">
        <v>369</v>
      </c>
      <c r="F41" s="14" t="s">
        <v>359</v>
      </c>
      <c r="L41" s="14">
        <v>172</v>
      </c>
      <c r="M41" s="14">
        <v>2</v>
      </c>
      <c r="N41" s="14" t="s">
        <v>352</v>
      </c>
      <c r="O41" s="14" t="s">
        <v>355</v>
      </c>
      <c r="P41" s="14">
        <v>237</v>
      </c>
      <c r="Q41" s="14" t="str">
        <f t="shared" si="0"/>
        <v>Y</v>
      </c>
    </row>
    <row r="42" spans="1:17" s="14" customFormat="1" x14ac:dyDescent="0.25">
      <c r="A42" s="14" t="s">
        <v>261</v>
      </c>
      <c r="B42" s="17">
        <v>-76.415925999999999</v>
      </c>
      <c r="C42" s="17">
        <v>42.922840000000001</v>
      </c>
      <c r="D42" s="14">
        <v>21</v>
      </c>
      <c r="E42" s="14" t="s">
        <v>369</v>
      </c>
      <c r="F42" s="14" t="s">
        <v>360</v>
      </c>
      <c r="L42" s="14">
        <v>135</v>
      </c>
      <c r="M42" s="14">
        <v>2</v>
      </c>
      <c r="N42" s="14" t="s">
        <v>352</v>
      </c>
      <c r="O42" s="14" t="s">
        <v>355</v>
      </c>
      <c r="Q42" s="14" t="str">
        <f t="shared" si="0"/>
        <v>Y</v>
      </c>
    </row>
    <row r="43" spans="1:17" s="14" customFormat="1" x14ac:dyDescent="0.25">
      <c r="A43" s="14" t="s">
        <v>100</v>
      </c>
      <c r="B43" s="17">
        <v>-76.418719999999993</v>
      </c>
      <c r="C43" s="17">
        <v>42.922800000000002</v>
      </c>
      <c r="D43" s="14">
        <v>24</v>
      </c>
      <c r="E43" s="14" t="s">
        <v>369</v>
      </c>
      <c r="F43" s="14" t="s">
        <v>359</v>
      </c>
      <c r="L43" s="14">
        <v>239</v>
      </c>
      <c r="M43" s="14">
        <v>2</v>
      </c>
      <c r="N43" s="14" t="s">
        <v>352</v>
      </c>
      <c r="O43" s="14" t="s">
        <v>355</v>
      </c>
      <c r="P43" s="14">
        <v>124</v>
      </c>
      <c r="Q43" s="14" t="str">
        <f t="shared" si="0"/>
        <v>Y</v>
      </c>
    </row>
    <row r="44" spans="1:17" s="14" customFormat="1" x14ac:dyDescent="0.25">
      <c r="A44" s="14" t="s">
        <v>262</v>
      </c>
      <c r="B44" s="17">
        <v>-76.418719999999993</v>
      </c>
      <c r="C44" s="17">
        <v>42.922800000000002</v>
      </c>
      <c r="D44" s="14">
        <v>24</v>
      </c>
      <c r="E44" s="14" t="s">
        <v>369</v>
      </c>
      <c r="F44" s="14" t="s">
        <v>360</v>
      </c>
      <c r="L44" s="14">
        <v>295</v>
      </c>
      <c r="M44" s="14">
        <v>2</v>
      </c>
      <c r="N44" s="14" t="s">
        <v>352</v>
      </c>
      <c r="O44" s="14" t="s">
        <v>355</v>
      </c>
      <c r="Q44" s="14" t="str">
        <f t="shared" si="0"/>
        <v>Y</v>
      </c>
    </row>
    <row r="45" spans="1:17" s="14" customFormat="1" hidden="1" x14ac:dyDescent="0.25">
      <c r="A45" s="14" t="s">
        <v>11</v>
      </c>
      <c r="B45" s="17">
        <v>-76.346215999999998</v>
      </c>
      <c r="C45" s="17">
        <v>42.833553000000002</v>
      </c>
      <c r="D45" s="14">
        <v>1</v>
      </c>
      <c r="E45" s="14" t="s">
        <v>361</v>
      </c>
      <c r="F45" s="14" t="s">
        <v>359</v>
      </c>
      <c r="G45" s="14">
        <v>43</v>
      </c>
      <c r="H45" s="14">
        <v>31</v>
      </c>
      <c r="I45" s="14">
        <v>0</v>
      </c>
      <c r="J45" s="14" t="s">
        <v>357</v>
      </c>
      <c r="K45" s="14" t="s">
        <v>355</v>
      </c>
      <c r="Q45" s="14" t="str">
        <f t="shared" si="0"/>
        <v>Y</v>
      </c>
    </row>
    <row r="46" spans="1:17" s="14" customFormat="1" hidden="1" x14ac:dyDescent="0.25">
      <c r="A46" s="14" t="s">
        <v>10</v>
      </c>
      <c r="B46" s="17">
        <v>-76.390435999999994</v>
      </c>
      <c r="C46" s="17">
        <v>42.895178999999999</v>
      </c>
      <c r="D46" s="14">
        <v>2</v>
      </c>
      <c r="E46" s="14" t="s">
        <v>361</v>
      </c>
      <c r="F46" s="14" t="s">
        <v>359</v>
      </c>
      <c r="G46" s="14">
        <v>408</v>
      </c>
      <c r="H46" s="14">
        <v>333</v>
      </c>
      <c r="I46" s="14">
        <v>1</v>
      </c>
      <c r="J46" s="14" t="s">
        <v>357</v>
      </c>
      <c r="K46" s="14" t="s">
        <v>354</v>
      </c>
      <c r="P46" s="14">
        <v>80</v>
      </c>
      <c r="Q46" s="14" t="str">
        <f t="shared" si="0"/>
        <v>Y</v>
      </c>
    </row>
    <row r="47" spans="1:17" s="14" customFormat="1" x14ac:dyDescent="0.25">
      <c r="A47" s="14" t="s">
        <v>12</v>
      </c>
      <c r="B47" s="17">
        <v>-76.346198000000001</v>
      </c>
      <c r="C47" s="17">
        <v>42.833731999999998</v>
      </c>
      <c r="D47" s="14">
        <v>2</v>
      </c>
      <c r="E47" s="14" t="s">
        <v>361</v>
      </c>
      <c r="F47" s="14" t="s">
        <v>359</v>
      </c>
      <c r="G47" s="14">
        <v>85</v>
      </c>
      <c r="H47" s="14">
        <v>77</v>
      </c>
      <c r="I47" s="14">
        <v>2</v>
      </c>
      <c r="J47" s="14" t="s">
        <v>357</v>
      </c>
      <c r="K47" s="14" t="s">
        <v>355</v>
      </c>
      <c r="L47" s="14">
        <v>0</v>
      </c>
      <c r="M47" s="14">
        <v>2</v>
      </c>
      <c r="N47" s="14" t="s">
        <v>352</v>
      </c>
      <c r="O47" s="14" t="s">
        <v>356</v>
      </c>
      <c r="P47" s="14">
        <v>9</v>
      </c>
      <c r="Q47" s="14" t="str">
        <f t="shared" si="0"/>
        <v>Y</v>
      </c>
    </row>
    <row r="48" spans="1:17" s="14" customFormat="1" x14ac:dyDescent="0.25">
      <c r="A48" s="14" t="s">
        <v>13</v>
      </c>
      <c r="B48" s="17">
        <v>-76.346108000000001</v>
      </c>
      <c r="C48" s="17">
        <v>42.833632999999999</v>
      </c>
      <c r="D48" s="14">
        <v>2</v>
      </c>
      <c r="E48" s="14" t="s">
        <v>361</v>
      </c>
      <c r="F48" s="14" t="s">
        <v>360</v>
      </c>
      <c r="G48" s="14">
        <v>5</v>
      </c>
      <c r="H48" s="14">
        <v>10</v>
      </c>
      <c r="I48" s="14">
        <v>1</v>
      </c>
      <c r="J48" s="14" t="s">
        <v>357</v>
      </c>
      <c r="K48" s="14" t="s">
        <v>355</v>
      </c>
      <c r="L48" s="14">
        <v>0</v>
      </c>
      <c r="M48" s="14">
        <v>2</v>
      </c>
      <c r="N48" s="14" t="s">
        <v>352</v>
      </c>
      <c r="O48" s="14" t="s">
        <v>356</v>
      </c>
      <c r="Q48" s="14" t="str">
        <f t="shared" si="0"/>
        <v>Y</v>
      </c>
    </row>
    <row r="49" spans="1:17" s="14" customFormat="1" hidden="1" x14ac:dyDescent="0.25">
      <c r="A49" s="14" t="s">
        <v>14</v>
      </c>
      <c r="B49" s="17">
        <v>-76.390535</v>
      </c>
      <c r="C49" s="17">
        <v>42.895093000000003</v>
      </c>
      <c r="D49" s="14">
        <v>3</v>
      </c>
      <c r="E49" s="14" t="s">
        <v>361</v>
      </c>
      <c r="F49" s="14" t="s">
        <v>359</v>
      </c>
      <c r="G49" s="14">
        <v>326</v>
      </c>
      <c r="H49" s="14">
        <v>0</v>
      </c>
      <c r="I49" s="14">
        <v>0</v>
      </c>
      <c r="J49" s="14" t="s">
        <v>352</v>
      </c>
      <c r="K49" s="14" t="s">
        <v>356</v>
      </c>
      <c r="P49" s="14">
        <v>24</v>
      </c>
      <c r="Q49" s="14" t="str">
        <f t="shared" si="0"/>
        <v>Y</v>
      </c>
    </row>
    <row r="50" spans="1:17" s="14" customFormat="1" x14ac:dyDescent="0.25">
      <c r="A50" s="14" t="s">
        <v>15</v>
      </c>
      <c r="B50" s="17">
        <v>-76.346090000000004</v>
      </c>
      <c r="C50" s="17">
        <v>42.833731999999998</v>
      </c>
      <c r="D50" s="14">
        <v>3</v>
      </c>
      <c r="E50" s="14" t="s">
        <v>361</v>
      </c>
      <c r="F50" s="14" t="s">
        <v>359</v>
      </c>
      <c r="G50" s="14">
        <v>55</v>
      </c>
      <c r="H50" s="14">
        <v>44</v>
      </c>
      <c r="I50" s="14">
        <v>0</v>
      </c>
      <c r="J50" s="14" t="s">
        <v>352</v>
      </c>
      <c r="K50" s="14" t="s">
        <v>356</v>
      </c>
      <c r="L50" s="14">
        <v>0</v>
      </c>
      <c r="M50" s="14">
        <v>2</v>
      </c>
      <c r="N50" s="14" t="s">
        <v>352</v>
      </c>
      <c r="O50" s="14" t="s">
        <v>356</v>
      </c>
      <c r="P50" s="14">
        <v>75</v>
      </c>
      <c r="Q50" s="14" t="str">
        <f t="shared" si="0"/>
        <v>Y</v>
      </c>
    </row>
    <row r="51" spans="1:17" s="14" customFormat="1" x14ac:dyDescent="0.25">
      <c r="A51" s="14" t="s">
        <v>16</v>
      </c>
      <c r="B51" s="17">
        <v>-76.412357</v>
      </c>
      <c r="C51" s="17">
        <v>42.894993999999997</v>
      </c>
      <c r="D51" s="14">
        <v>3</v>
      </c>
      <c r="E51" s="14" t="s">
        <v>361</v>
      </c>
      <c r="F51" s="14" t="s">
        <v>360</v>
      </c>
      <c r="G51" s="14">
        <v>98</v>
      </c>
      <c r="H51" s="14">
        <v>106</v>
      </c>
      <c r="I51" s="14">
        <v>1</v>
      </c>
      <c r="J51" s="14" t="s">
        <v>352</v>
      </c>
      <c r="K51" s="14" t="s">
        <v>354</v>
      </c>
      <c r="L51" s="14">
        <v>0</v>
      </c>
      <c r="M51" s="14">
        <v>0</v>
      </c>
      <c r="N51" s="14" t="s">
        <v>352</v>
      </c>
      <c r="O51" s="14" t="s">
        <v>356</v>
      </c>
      <c r="Q51" s="14" t="str">
        <f t="shared" si="0"/>
        <v>Y</v>
      </c>
    </row>
    <row r="52" spans="1:17" s="14" customFormat="1" hidden="1" x14ac:dyDescent="0.25">
      <c r="A52" s="14" t="s">
        <v>17</v>
      </c>
      <c r="B52" s="17">
        <v>-76.411986999999996</v>
      </c>
      <c r="C52" s="17">
        <v>42.894697000000001</v>
      </c>
      <c r="D52" s="14">
        <v>4</v>
      </c>
      <c r="E52" s="14" t="s">
        <v>361</v>
      </c>
      <c r="F52" s="14" t="s">
        <v>359</v>
      </c>
      <c r="G52" s="14">
        <v>246</v>
      </c>
      <c r="H52" s="14">
        <v>386</v>
      </c>
      <c r="I52" s="14">
        <v>2</v>
      </c>
      <c r="J52" s="14" t="s">
        <v>352</v>
      </c>
      <c r="K52" s="14" t="s">
        <v>355</v>
      </c>
      <c r="Q52" s="14" t="str">
        <f t="shared" si="0"/>
        <v>Y</v>
      </c>
    </row>
    <row r="53" spans="1:17" s="14" customFormat="1" hidden="1" x14ac:dyDescent="0.25">
      <c r="A53" s="14" t="s">
        <v>18</v>
      </c>
      <c r="B53" s="17">
        <v>-76.390895999999998</v>
      </c>
      <c r="C53" s="17">
        <v>42.894928</v>
      </c>
      <c r="D53" s="14">
        <v>5</v>
      </c>
      <c r="E53" s="14" t="s">
        <v>361</v>
      </c>
      <c r="F53" s="14" t="s">
        <v>359</v>
      </c>
      <c r="G53" s="14">
        <v>312</v>
      </c>
      <c r="H53" s="14">
        <v>1</v>
      </c>
      <c r="I53" s="14">
        <v>0</v>
      </c>
      <c r="J53" s="14" t="s">
        <v>352</v>
      </c>
      <c r="K53" s="14" t="s">
        <v>356</v>
      </c>
      <c r="P53" s="14">
        <v>312</v>
      </c>
      <c r="Q53" s="14" t="str">
        <f t="shared" si="0"/>
        <v>Y</v>
      </c>
    </row>
    <row r="54" spans="1:17" s="14" customFormat="1" x14ac:dyDescent="0.25">
      <c r="A54" s="14" t="s">
        <v>19</v>
      </c>
      <c r="B54" s="17">
        <v>-76.411861000000002</v>
      </c>
      <c r="C54" s="17">
        <v>42.894782999999997</v>
      </c>
      <c r="D54" s="14">
        <v>5</v>
      </c>
      <c r="E54" s="14" t="s">
        <v>361</v>
      </c>
      <c r="F54" s="14" t="s">
        <v>359</v>
      </c>
      <c r="G54" s="14">
        <v>190</v>
      </c>
      <c r="H54" s="14">
        <v>177</v>
      </c>
      <c r="I54" s="14">
        <v>1</v>
      </c>
      <c r="J54" s="14" t="s">
        <v>352</v>
      </c>
      <c r="K54" s="14" t="s">
        <v>353</v>
      </c>
      <c r="L54" s="14">
        <v>0</v>
      </c>
      <c r="M54" s="14">
        <v>1</v>
      </c>
      <c r="N54" s="14" t="s">
        <v>352</v>
      </c>
      <c r="O54" s="14" t="s">
        <v>355</v>
      </c>
      <c r="P54" s="14">
        <v>779</v>
      </c>
      <c r="Q54" s="14" t="str">
        <f t="shared" si="0"/>
        <v>Y</v>
      </c>
    </row>
    <row r="55" spans="1:17" s="14" customFormat="1" x14ac:dyDescent="0.25">
      <c r="A55" s="14" t="s">
        <v>20</v>
      </c>
      <c r="B55" s="17">
        <v>-76.411921000000007</v>
      </c>
      <c r="C55" s="17">
        <v>42.894919333333299</v>
      </c>
      <c r="D55" s="14">
        <v>5</v>
      </c>
      <c r="E55" s="14" t="s">
        <v>361</v>
      </c>
      <c r="F55" s="14" t="s">
        <v>360</v>
      </c>
      <c r="G55" s="14">
        <v>230</v>
      </c>
      <c r="H55" s="14">
        <v>63</v>
      </c>
      <c r="I55" s="14">
        <v>1</v>
      </c>
      <c r="J55" s="14" t="s">
        <v>352</v>
      </c>
      <c r="K55" s="14" t="s">
        <v>354</v>
      </c>
      <c r="L55" s="14">
        <v>0</v>
      </c>
      <c r="M55" s="14">
        <v>0</v>
      </c>
      <c r="N55" s="14" t="s">
        <v>352</v>
      </c>
      <c r="O55" s="14" t="s">
        <v>355</v>
      </c>
      <c r="Q55" s="14" t="str">
        <f t="shared" si="0"/>
        <v>Y</v>
      </c>
    </row>
    <row r="56" spans="1:17" s="14" customFormat="1" x14ac:dyDescent="0.25">
      <c r="A56" s="14" t="s">
        <v>101</v>
      </c>
      <c r="B56" s="17">
        <v>-76.411888000000005</v>
      </c>
      <c r="C56" s="17">
        <v>42.895125999999998</v>
      </c>
      <c r="D56" s="14">
        <v>7</v>
      </c>
      <c r="E56" s="14" t="s">
        <v>361</v>
      </c>
      <c r="F56" s="14" t="s">
        <v>359</v>
      </c>
      <c r="L56" s="14">
        <v>68</v>
      </c>
      <c r="M56" s="14">
        <v>0</v>
      </c>
      <c r="N56" s="14" t="s">
        <v>352</v>
      </c>
      <c r="O56" s="14" t="s">
        <v>354</v>
      </c>
      <c r="P56" s="14">
        <v>590</v>
      </c>
      <c r="Q56" s="14" t="str">
        <f t="shared" si="0"/>
        <v>Y</v>
      </c>
    </row>
    <row r="57" spans="1:17" s="14" customFormat="1" x14ac:dyDescent="0.25">
      <c r="A57" s="14" t="s">
        <v>325</v>
      </c>
      <c r="B57" s="17">
        <v>-76.411888000000005</v>
      </c>
      <c r="C57" s="17">
        <v>42.895125999999998</v>
      </c>
      <c r="D57" s="14">
        <v>7</v>
      </c>
      <c r="E57" s="14" t="s">
        <v>361</v>
      </c>
      <c r="F57" s="14" t="s">
        <v>360</v>
      </c>
      <c r="L57" s="14">
        <v>69</v>
      </c>
      <c r="M57" s="14">
        <v>0</v>
      </c>
      <c r="N57" s="14" t="s">
        <v>352</v>
      </c>
      <c r="O57" s="14" t="s">
        <v>355</v>
      </c>
      <c r="Q57" s="14" t="str">
        <f t="shared" si="0"/>
        <v>Y</v>
      </c>
    </row>
    <row r="58" spans="1:17" s="14" customFormat="1" hidden="1" x14ac:dyDescent="0.25">
      <c r="A58" s="14" t="s">
        <v>21</v>
      </c>
      <c r="B58" s="17">
        <v>-76.391193000000001</v>
      </c>
      <c r="C58" s="17">
        <v>42.895040000000002</v>
      </c>
      <c r="D58" s="14">
        <v>8</v>
      </c>
      <c r="E58" s="14" t="s">
        <v>361</v>
      </c>
      <c r="F58" s="14" t="s">
        <v>359</v>
      </c>
      <c r="G58" s="14">
        <v>194</v>
      </c>
      <c r="H58" s="14">
        <v>0</v>
      </c>
      <c r="I58" s="14">
        <v>0</v>
      </c>
      <c r="J58" s="14" t="s">
        <v>352</v>
      </c>
      <c r="K58" s="14" t="s">
        <v>356</v>
      </c>
      <c r="P58" s="14">
        <v>234</v>
      </c>
      <c r="Q58" s="14" t="str">
        <f t="shared" si="0"/>
        <v>Y</v>
      </c>
    </row>
    <row r="59" spans="1:17" s="14" customFormat="1" hidden="1" x14ac:dyDescent="0.25">
      <c r="A59" s="14" t="s">
        <v>22</v>
      </c>
      <c r="B59" s="17">
        <v>-76.391193000000001</v>
      </c>
      <c r="C59" s="17">
        <v>42.895040000000002</v>
      </c>
      <c r="D59" s="14">
        <v>8</v>
      </c>
      <c r="E59" s="14" t="s">
        <v>361</v>
      </c>
      <c r="F59" s="14" t="s">
        <v>360</v>
      </c>
      <c r="G59" s="14">
        <v>170</v>
      </c>
      <c r="H59" s="14">
        <v>0</v>
      </c>
      <c r="I59" s="14">
        <v>0</v>
      </c>
      <c r="J59" s="14" t="s">
        <v>352</v>
      </c>
      <c r="K59" s="14" t="s">
        <v>356</v>
      </c>
      <c r="P59" s="14">
        <v>405</v>
      </c>
      <c r="Q59" s="14" t="str">
        <f t="shared" si="0"/>
        <v>Y</v>
      </c>
    </row>
    <row r="60" spans="1:17" s="14" customFormat="1" hidden="1" x14ac:dyDescent="0.25">
      <c r="A60" s="14" t="s">
        <v>23</v>
      </c>
      <c r="B60" s="17">
        <v>-76.411734999999993</v>
      </c>
      <c r="C60" s="17">
        <v>42.894888000000002</v>
      </c>
      <c r="D60" s="14">
        <v>8</v>
      </c>
      <c r="E60" s="14" t="s">
        <v>361</v>
      </c>
      <c r="F60" s="14" t="s">
        <v>359</v>
      </c>
      <c r="G60" s="14">
        <v>128</v>
      </c>
      <c r="H60" s="14">
        <v>237</v>
      </c>
      <c r="I60" s="14">
        <v>1</v>
      </c>
      <c r="J60" s="14" t="s">
        <v>352</v>
      </c>
      <c r="K60" s="14" t="s">
        <v>355</v>
      </c>
      <c r="Q60" s="14" t="str">
        <f t="shared" si="0"/>
        <v>Y</v>
      </c>
    </row>
    <row r="61" spans="1:17" s="14" customFormat="1" hidden="1" x14ac:dyDescent="0.25">
      <c r="A61" s="14" t="s">
        <v>24</v>
      </c>
      <c r="B61" s="17">
        <v>-76.391499999999994</v>
      </c>
      <c r="C61" s="17">
        <v>42.895133000000001</v>
      </c>
      <c r="D61" s="14">
        <v>11</v>
      </c>
      <c r="E61" s="14" t="s">
        <v>361</v>
      </c>
      <c r="F61" s="14" t="s">
        <v>359</v>
      </c>
      <c r="G61" s="14">
        <v>684</v>
      </c>
      <c r="H61" s="14">
        <v>575</v>
      </c>
      <c r="I61" s="14">
        <v>1</v>
      </c>
      <c r="J61" s="14" t="s">
        <v>352</v>
      </c>
      <c r="K61" s="14" t="s">
        <v>355</v>
      </c>
      <c r="P61" s="14">
        <v>313</v>
      </c>
      <c r="Q61" s="14" t="str">
        <f t="shared" si="0"/>
        <v>Y</v>
      </c>
    </row>
    <row r="62" spans="1:17" s="14" customFormat="1" x14ac:dyDescent="0.25">
      <c r="A62" s="14" t="s">
        <v>25</v>
      </c>
      <c r="B62" s="17">
        <v>-76.411698999999999</v>
      </c>
      <c r="C62" s="17">
        <v>42.894902000000002</v>
      </c>
      <c r="D62" s="14">
        <v>11</v>
      </c>
      <c r="E62" s="14" t="s">
        <v>361</v>
      </c>
      <c r="F62" s="14" t="s">
        <v>359</v>
      </c>
      <c r="G62" s="14">
        <v>295</v>
      </c>
      <c r="H62" s="14">
        <v>526</v>
      </c>
      <c r="I62" s="14">
        <v>2</v>
      </c>
      <c r="J62" s="14" t="s">
        <v>352</v>
      </c>
      <c r="K62" s="14" t="s">
        <v>355</v>
      </c>
      <c r="L62" s="14">
        <v>217</v>
      </c>
      <c r="M62" s="14">
        <v>0</v>
      </c>
      <c r="N62" s="14" t="s">
        <v>352</v>
      </c>
      <c r="O62" s="14" t="s">
        <v>355</v>
      </c>
      <c r="P62" s="14">
        <v>211</v>
      </c>
      <c r="Q62" s="14" t="str">
        <f t="shared" si="0"/>
        <v>Y</v>
      </c>
    </row>
    <row r="63" spans="1:17" s="14" customFormat="1" x14ac:dyDescent="0.25">
      <c r="A63" s="14" t="s">
        <v>26</v>
      </c>
      <c r="B63" s="17">
        <v>-76.411755999999997</v>
      </c>
      <c r="C63" s="17">
        <v>42.895016333333302</v>
      </c>
      <c r="D63" s="14">
        <v>11</v>
      </c>
      <c r="E63" s="14" t="s">
        <v>361</v>
      </c>
      <c r="F63" s="14" t="s">
        <v>360</v>
      </c>
      <c r="G63" s="14">
        <v>312</v>
      </c>
      <c r="H63" s="14">
        <v>525</v>
      </c>
      <c r="I63" s="14">
        <v>1</v>
      </c>
      <c r="J63" s="14" t="s">
        <v>352</v>
      </c>
      <c r="K63" s="14" t="s">
        <v>355</v>
      </c>
      <c r="L63" s="14">
        <v>234</v>
      </c>
      <c r="M63" s="14">
        <v>0</v>
      </c>
      <c r="N63" s="14" t="s">
        <v>352</v>
      </c>
      <c r="O63" s="14" t="s">
        <v>355</v>
      </c>
      <c r="Q63" s="14" t="str">
        <f t="shared" si="0"/>
        <v>Y</v>
      </c>
    </row>
    <row r="64" spans="1:17" s="14" customFormat="1" hidden="1" x14ac:dyDescent="0.25">
      <c r="A64" s="14" t="s">
        <v>27</v>
      </c>
      <c r="B64" s="17">
        <v>-76.391689</v>
      </c>
      <c r="C64" s="17">
        <v>42.895184999999998</v>
      </c>
      <c r="D64" s="14">
        <v>14</v>
      </c>
      <c r="E64" s="14" t="s">
        <v>361</v>
      </c>
      <c r="F64" s="14" t="s">
        <v>359</v>
      </c>
      <c r="G64" s="14">
        <v>244</v>
      </c>
      <c r="H64" s="14">
        <v>394</v>
      </c>
      <c r="I64" s="14">
        <v>2</v>
      </c>
      <c r="J64" s="14" t="s">
        <v>352</v>
      </c>
      <c r="K64" s="14" t="s">
        <v>354</v>
      </c>
      <c r="P64" s="14">
        <v>193</v>
      </c>
      <c r="Q64" s="14" t="str">
        <f t="shared" si="0"/>
        <v>Y</v>
      </c>
    </row>
    <row r="65" spans="1:17" s="14" customFormat="1" x14ac:dyDescent="0.25">
      <c r="A65" s="14" t="s">
        <v>28</v>
      </c>
      <c r="B65" s="17">
        <v>-76.411653999999999</v>
      </c>
      <c r="C65" s="17">
        <v>42.894987</v>
      </c>
      <c r="D65" s="14">
        <v>14</v>
      </c>
      <c r="E65" s="14" t="s">
        <v>361</v>
      </c>
      <c r="F65" s="14" t="s">
        <v>359</v>
      </c>
      <c r="G65" s="14">
        <v>336</v>
      </c>
      <c r="H65" s="14">
        <v>144</v>
      </c>
      <c r="I65" s="14">
        <v>1</v>
      </c>
      <c r="J65" s="14" t="s">
        <v>352</v>
      </c>
      <c r="K65" s="14" t="s">
        <v>355</v>
      </c>
      <c r="L65" s="14">
        <v>221</v>
      </c>
      <c r="M65" s="14">
        <v>0</v>
      </c>
      <c r="N65" s="14" t="s">
        <v>352</v>
      </c>
      <c r="O65" s="14" t="s">
        <v>355</v>
      </c>
      <c r="Q65" s="14" t="str">
        <f t="shared" si="0"/>
        <v>Y</v>
      </c>
    </row>
    <row r="66" spans="1:17" s="14" customFormat="1" x14ac:dyDescent="0.25">
      <c r="A66" s="14" t="s">
        <v>29</v>
      </c>
      <c r="B66" s="17">
        <v>-76.411663000000004</v>
      </c>
      <c r="C66" s="17">
        <v>42.895015666666701</v>
      </c>
      <c r="D66" s="14">
        <v>14</v>
      </c>
      <c r="E66" s="14" t="s">
        <v>361</v>
      </c>
      <c r="F66" s="14" t="s">
        <v>360</v>
      </c>
      <c r="G66" s="14">
        <v>171</v>
      </c>
      <c r="H66" s="14">
        <v>356</v>
      </c>
      <c r="I66" s="14">
        <v>1</v>
      </c>
      <c r="J66" s="14" t="s">
        <v>352</v>
      </c>
      <c r="K66" s="14" t="s">
        <v>355</v>
      </c>
      <c r="L66" s="14">
        <v>119</v>
      </c>
      <c r="M66" s="14">
        <v>0</v>
      </c>
      <c r="N66" s="14" t="s">
        <v>352</v>
      </c>
      <c r="O66" s="14" t="s">
        <v>355</v>
      </c>
      <c r="P66" s="14">
        <v>127</v>
      </c>
      <c r="Q66" s="14" t="str">
        <f t="shared" si="0"/>
        <v>Y</v>
      </c>
    </row>
    <row r="67" spans="1:17" s="14" customFormat="1" hidden="1" x14ac:dyDescent="0.25">
      <c r="A67" s="14" t="s">
        <v>30</v>
      </c>
      <c r="B67" s="17">
        <v>-76.391941000000003</v>
      </c>
      <c r="C67" s="17">
        <v>42.895271000000001</v>
      </c>
      <c r="D67" s="14">
        <v>17</v>
      </c>
      <c r="E67" s="14" t="s">
        <v>361</v>
      </c>
      <c r="F67" s="14" t="s">
        <v>359</v>
      </c>
      <c r="G67" s="14">
        <v>1481</v>
      </c>
      <c r="H67" s="14">
        <v>642</v>
      </c>
      <c r="I67" s="14">
        <v>1</v>
      </c>
      <c r="J67" s="14" t="s">
        <v>352</v>
      </c>
      <c r="K67" s="14" t="s">
        <v>355</v>
      </c>
      <c r="P67" s="14">
        <v>377</v>
      </c>
      <c r="Q67" s="14" t="str">
        <f t="shared" ref="Q67:Q130" si="1">IF(OR(M67&lt;&gt;"", I67&lt;&gt;""), "Y", "")</f>
        <v>Y</v>
      </c>
    </row>
    <row r="68" spans="1:17" s="14" customFormat="1" x14ac:dyDescent="0.25">
      <c r="A68" s="14" t="s">
        <v>263</v>
      </c>
      <c r="B68" s="17">
        <v>-76.411609484937102</v>
      </c>
      <c r="C68" s="17">
        <v>42.895070031418399</v>
      </c>
      <c r="D68" s="14">
        <v>17</v>
      </c>
      <c r="E68" s="14" t="s">
        <v>361</v>
      </c>
      <c r="F68" s="14" t="s">
        <v>359</v>
      </c>
      <c r="L68" s="14">
        <v>771</v>
      </c>
      <c r="M68" s="14">
        <v>2</v>
      </c>
      <c r="N68" s="14" t="s">
        <v>352</v>
      </c>
      <c r="O68" s="14" t="s">
        <v>355</v>
      </c>
      <c r="Q68" s="14" t="str">
        <f t="shared" si="1"/>
        <v>Y</v>
      </c>
    </row>
    <row r="69" spans="1:17" s="14" customFormat="1" x14ac:dyDescent="0.25">
      <c r="A69" s="14" t="s">
        <v>102</v>
      </c>
      <c r="B69" s="17">
        <v>-76.411598999999995</v>
      </c>
      <c r="C69" s="17">
        <v>42.895119000000001</v>
      </c>
      <c r="D69" s="14">
        <v>18</v>
      </c>
      <c r="E69" s="14" t="s">
        <v>361</v>
      </c>
      <c r="F69" s="14" t="s">
        <v>359</v>
      </c>
      <c r="L69" s="14">
        <v>281</v>
      </c>
      <c r="M69" s="14">
        <v>2</v>
      </c>
      <c r="N69" s="14" t="s">
        <v>352</v>
      </c>
      <c r="O69" s="14" t="s">
        <v>355</v>
      </c>
      <c r="P69" s="14">
        <v>238</v>
      </c>
      <c r="Q69" s="14" t="str">
        <f t="shared" si="1"/>
        <v>Y</v>
      </c>
    </row>
    <row r="70" spans="1:17" s="14" customFormat="1" x14ac:dyDescent="0.25">
      <c r="A70" s="14" t="s">
        <v>264</v>
      </c>
      <c r="B70" s="17">
        <v>-76.411598999999995</v>
      </c>
      <c r="C70" s="17">
        <v>42.895119000000001</v>
      </c>
      <c r="D70" s="14">
        <v>18</v>
      </c>
      <c r="E70" s="14" t="s">
        <v>361</v>
      </c>
      <c r="F70" s="14" t="s">
        <v>360</v>
      </c>
      <c r="L70" s="14">
        <v>258</v>
      </c>
      <c r="M70" s="14">
        <v>2</v>
      </c>
      <c r="N70" s="14" t="s">
        <v>352</v>
      </c>
      <c r="O70" s="14" t="s">
        <v>355</v>
      </c>
      <c r="Q70" s="14" t="str">
        <f t="shared" si="1"/>
        <v>Y</v>
      </c>
    </row>
    <row r="71" spans="1:17" s="14" customFormat="1" x14ac:dyDescent="0.25">
      <c r="A71" s="14" t="s">
        <v>103</v>
      </c>
      <c r="B71" s="17">
        <v>-76.392464000000004</v>
      </c>
      <c r="C71" s="17">
        <v>42.895046999999998</v>
      </c>
      <c r="D71" s="14">
        <v>24</v>
      </c>
      <c r="E71" s="14" t="s">
        <v>361</v>
      </c>
      <c r="F71" s="14" t="s">
        <v>359</v>
      </c>
      <c r="L71" s="14">
        <v>308</v>
      </c>
      <c r="M71" s="14">
        <v>2</v>
      </c>
      <c r="N71" s="14" t="s">
        <v>352</v>
      </c>
      <c r="O71" s="14" t="s">
        <v>355</v>
      </c>
      <c r="P71" s="14">
        <v>281</v>
      </c>
      <c r="Q71" s="14" t="str">
        <f t="shared" si="1"/>
        <v>Y</v>
      </c>
    </row>
    <row r="72" spans="1:17" s="14" customFormat="1" x14ac:dyDescent="0.25">
      <c r="A72" s="14" t="s">
        <v>326</v>
      </c>
      <c r="B72" s="17">
        <v>-76.392464000000004</v>
      </c>
      <c r="C72" s="17">
        <v>42.895046999999998</v>
      </c>
      <c r="D72" s="14">
        <v>24</v>
      </c>
      <c r="E72" s="14" t="s">
        <v>361</v>
      </c>
      <c r="F72" s="14" t="s">
        <v>360</v>
      </c>
      <c r="L72" s="14">
        <v>0</v>
      </c>
      <c r="M72" s="14">
        <v>2</v>
      </c>
      <c r="N72" s="14" t="s">
        <v>352</v>
      </c>
      <c r="O72" s="14" t="s">
        <v>355</v>
      </c>
      <c r="Q72" s="14" t="str">
        <f t="shared" si="1"/>
        <v>Y</v>
      </c>
    </row>
    <row r="73" spans="1:17" s="14" customFormat="1" x14ac:dyDescent="0.25">
      <c r="A73" s="14" t="s">
        <v>104</v>
      </c>
      <c r="B73" s="17">
        <v>-76.411185000000003</v>
      </c>
      <c r="C73" s="17">
        <v>42.895007</v>
      </c>
      <c r="D73" s="14">
        <v>24</v>
      </c>
      <c r="E73" s="14" t="s">
        <v>361</v>
      </c>
      <c r="F73" s="14" t="s">
        <v>359</v>
      </c>
      <c r="L73" s="14">
        <v>268</v>
      </c>
      <c r="M73" s="14">
        <v>2</v>
      </c>
      <c r="N73" s="14" t="s">
        <v>352</v>
      </c>
      <c r="O73" s="14" t="s">
        <v>355</v>
      </c>
      <c r="P73" s="14">
        <v>298</v>
      </c>
      <c r="Q73" s="14" t="str">
        <f t="shared" si="1"/>
        <v>Y</v>
      </c>
    </row>
    <row r="74" spans="1:17" s="14" customFormat="1" x14ac:dyDescent="0.25">
      <c r="A74" s="14" t="s">
        <v>105</v>
      </c>
      <c r="B74" s="17">
        <v>-76.410652999999996</v>
      </c>
      <c r="C74" s="17">
        <v>42.894953999999998</v>
      </c>
      <c r="D74" s="14">
        <v>29</v>
      </c>
      <c r="E74" s="14" t="s">
        <v>361</v>
      </c>
      <c r="F74" s="14" t="s">
        <v>359</v>
      </c>
      <c r="L74" s="14">
        <v>199</v>
      </c>
      <c r="M74" s="14">
        <v>2</v>
      </c>
      <c r="N74" s="14" t="s">
        <v>352</v>
      </c>
      <c r="O74" s="14" t="s">
        <v>355</v>
      </c>
      <c r="P74" s="14">
        <v>173</v>
      </c>
      <c r="Q74" s="14" t="str">
        <f t="shared" si="1"/>
        <v>Y</v>
      </c>
    </row>
    <row r="75" spans="1:17" s="14" customFormat="1" x14ac:dyDescent="0.25">
      <c r="A75" s="14" t="s">
        <v>106</v>
      </c>
      <c r="B75" s="17">
        <v>-76.392968999999994</v>
      </c>
      <c r="C75" s="17">
        <v>42.89508</v>
      </c>
      <c r="D75" s="14">
        <v>31</v>
      </c>
      <c r="E75" s="14" t="s">
        <v>361</v>
      </c>
      <c r="F75" s="14" t="s">
        <v>359</v>
      </c>
      <c r="L75" s="14">
        <v>277</v>
      </c>
      <c r="M75" s="14">
        <v>2</v>
      </c>
      <c r="N75" s="14" t="s">
        <v>352</v>
      </c>
      <c r="O75" s="14" t="s">
        <v>355</v>
      </c>
      <c r="P75" s="14">
        <v>62</v>
      </c>
      <c r="Q75" s="14" t="str">
        <f t="shared" si="1"/>
        <v>Y</v>
      </c>
    </row>
    <row r="76" spans="1:17" s="14" customFormat="1" x14ac:dyDescent="0.25">
      <c r="A76" s="14" t="s">
        <v>107</v>
      </c>
      <c r="B76" s="17">
        <v>-76.394068000000004</v>
      </c>
      <c r="C76" s="17">
        <v>42.895007</v>
      </c>
      <c r="D76" s="14">
        <v>38</v>
      </c>
      <c r="E76" s="14" t="s">
        <v>361</v>
      </c>
      <c r="F76" s="14" t="s">
        <v>359</v>
      </c>
      <c r="L76" s="14">
        <v>146</v>
      </c>
      <c r="M76" s="14">
        <v>2</v>
      </c>
      <c r="N76" s="14" t="s">
        <v>352</v>
      </c>
      <c r="O76" s="14" t="s">
        <v>355</v>
      </c>
      <c r="P76" s="14">
        <v>45</v>
      </c>
      <c r="Q76" s="14" t="str">
        <f t="shared" si="1"/>
        <v>Y</v>
      </c>
    </row>
    <row r="77" spans="1:17" s="14" customFormat="1" x14ac:dyDescent="0.25">
      <c r="A77" s="14" t="s">
        <v>108</v>
      </c>
      <c r="B77" s="17">
        <v>-76.410166000000004</v>
      </c>
      <c r="C77" s="17">
        <v>42.894981000000001</v>
      </c>
      <c r="D77" s="14">
        <v>39</v>
      </c>
      <c r="E77" s="14" t="s">
        <v>361</v>
      </c>
      <c r="F77" s="14" t="s">
        <v>359</v>
      </c>
      <c r="L77" s="14">
        <v>98</v>
      </c>
      <c r="M77" s="14">
        <v>2</v>
      </c>
      <c r="N77" s="14" t="s">
        <v>352</v>
      </c>
      <c r="O77" s="14" t="s">
        <v>355</v>
      </c>
      <c r="P77" s="14">
        <v>23</v>
      </c>
      <c r="Q77" s="14" t="str">
        <f t="shared" si="1"/>
        <v>Y</v>
      </c>
    </row>
    <row r="78" spans="1:17" s="14" customFormat="1" x14ac:dyDescent="0.25">
      <c r="A78" s="14" t="s">
        <v>265</v>
      </c>
      <c r="B78" s="17">
        <v>-76.394807999999998</v>
      </c>
      <c r="C78" s="17">
        <v>42.894967999999999</v>
      </c>
      <c r="D78" s="14">
        <v>43</v>
      </c>
      <c r="E78" s="14" t="s">
        <v>361</v>
      </c>
      <c r="F78" s="14" t="s">
        <v>359</v>
      </c>
      <c r="L78" s="14">
        <v>135</v>
      </c>
      <c r="M78" s="14">
        <v>2</v>
      </c>
      <c r="N78" s="14" t="s">
        <v>352</v>
      </c>
      <c r="O78" s="14" t="s">
        <v>355</v>
      </c>
      <c r="P78" s="14">
        <v>48</v>
      </c>
      <c r="Q78" s="14" t="str">
        <f t="shared" si="1"/>
        <v>Y</v>
      </c>
    </row>
    <row r="79" spans="1:17" s="14" customFormat="1" x14ac:dyDescent="0.25">
      <c r="A79" s="14" t="s">
        <v>110</v>
      </c>
      <c r="B79" s="17">
        <v>-76.409561999999994</v>
      </c>
      <c r="C79" s="17">
        <v>42.894902000000002</v>
      </c>
      <c r="D79" s="14">
        <v>45</v>
      </c>
      <c r="E79" s="14" t="s">
        <v>361</v>
      </c>
      <c r="F79" s="14" t="s">
        <v>359</v>
      </c>
      <c r="L79" s="14">
        <v>73</v>
      </c>
      <c r="M79" s="14">
        <v>2</v>
      </c>
      <c r="N79" s="14" t="s">
        <v>352</v>
      </c>
      <c r="O79" s="14" t="s">
        <v>355</v>
      </c>
      <c r="P79" s="14">
        <v>115</v>
      </c>
      <c r="Q79" s="14" t="str">
        <f t="shared" si="1"/>
        <v>Y</v>
      </c>
    </row>
    <row r="80" spans="1:17" s="14" customFormat="1" x14ac:dyDescent="0.25">
      <c r="A80" s="14" t="s">
        <v>266</v>
      </c>
      <c r="B80" s="17">
        <v>-76.409561999999994</v>
      </c>
      <c r="C80" s="17">
        <v>42.894902000000002</v>
      </c>
      <c r="D80" s="14">
        <v>45</v>
      </c>
      <c r="E80" s="14" t="s">
        <v>361</v>
      </c>
      <c r="F80" s="14" t="s">
        <v>360</v>
      </c>
      <c r="L80" s="14">
        <v>146</v>
      </c>
      <c r="M80" s="14">
        <v>2</v>
      </c>
      <c r="N80" s="14" t="s">
        <v>352</v>
      </c>
      <c r="O80" s="14" t="s">
        <v>379</v>
      </c>
      <c r="Q80" s="14" t="str">
        <f t="shared" si="1"/>
        <v>Y</v>
      </c>
    </row>
    <row r="81" spans="1:17" s="14" customFormat="1" x14ac:dyDescent="0.25">
      <c r="A81" s="14" t="s">
        <v>111</v>
      </c>
      <c r="B81" s="17">
        <v>-76.397132294201398</v>
      </c>
      <c r="C81" s="17">
        <v>42.895041392865899</v>
      </c>
      <c r="D81" s="14">
        <v>52</v>
      </c>
      <c r="E81" s="14" t="s">
        <v>361</v>
      </c>
      <c r="F81" s="14" t="s">
        <v>359</v>
      </c>
      <c r="L81" s="14">
        <v>45</v>
      </c>
      <c r="M81" s="14">
        <v>2</v>
      </c>
      <c r="N81" s="14" t="s">
        <v>352</v>
      </c>
      <c r="O81" s="14" t="s">
        <v>355</v>
      </c>
      <c r="P81" s="14">
        <v>29</v>
      </c>
      <c r="Q81" s="14" t="str">
        <f t="shared" si="1"/>
        <v>Y</v>
      </c>
    </row>
    <row r="82" spans="1:17" s="14" customFormat="1" hidden="1" x14ac:dyDescent="0.25">
      <c r="A82" s="14" t="s">
        <v>112</v>
      </c>
      <c r="B82" s="17">
        <v>-76.397277000000003</v>
      </c>
      <c r="C82" s="17">
        <v>42.895046999999998</v>
      </c>
      <c r="D82" s="14">
        <v>53</v>
      </c>
      <c r="E82" s="14" t="s">
        <v>361</v>
      </c>
      <c r="F82" s="14" t="s">
        <v>359</v>
      </c>
      <c r="P82" s="14">
        <v>34</v>
      </c>
      <c r="Q82" s="14" t="str">
        <f t="shared" si="1"/>
        <v/>
      </c>
    </row>
    <row r="83" spans="1:17" s="14" customFormat="1" x14ac:dyDescent="0.25">
      <c r="A83" s="14" t="s">
        <v>113</v>
      </c>
      <c r="B83" s="17">
        <v>-76.408472000000003</v>
      </c>
      <c r="C83" s="17">
        <v>42.895066999999997</v>
      </c>
      <c r="D83" s="14">
        <v>53</v>
      </c>
      <c r="E83" s="14" t="s">
        <v>361</v>
      </c>
      <c r="F83" s="14" t="s">
        <v>359</v>
      </c>
      <c r="L83" s="14">
        <v>38</v>
      </c>
      <c r="M83" s="14">
        <v>2</v>
      </c>
      <c r="N83" s="14" t="s">
        <v>352</v>
      </c>
      <c r="O83" s="14" t="s">
        <v>355</v>
      </c>
      <c r="P83" s="14">
        <v>30</v>
      </c>
      <c r="Q83" s="14" t="str">
        <f t="shared" si="1"/>
        <v>Y</v>
      </c>
    </row>
    <row r="84" spans="1:17" s="14" customFormat="1" hidden="1" x14ac:dyDescent="0.25">
      <c r="A84" s="14" t="s">
        <v>114</v>
      </c>
      <c r="B84" s="17">
        <v>-76.399827999999999</v>
      </c>
      <c r="C84" s="17">
        <v>42.895014000000003</v>
      </c>
      <c r="D84" s="14">
        <v>60</v>
      </c>
      <c r="E84" s="14" t="s">
        <v>361</v>
      </c>
      <c r="F84" s="14" t="s">
        <v>359</v>
      </c>
      <c r="P84" s="14">
        <v>86</v>
      </c>
      <c r="Q84" s="14" t="str">
        <f t="shared" si="1"/>
        <v/>
      </c>
    </row>
    <row r="85" spans="1:17" s="14" customFormat="1" x14ac:dyDescent="0.25">
      <c r="A85" s="14" t="s">
        <v>267</v>
      </c>
      <c r="B85" s="17">
        <v>-76.397060999999994</v>
      </c>
      <c r="C85" s="17">
        <v>42.860402999999998</v>
      </c>
      <c r="D85" s="14">
        <v>1</v>
      </c>
      <c r="E85" s="14" t="s">
        <v>371</v>
      </c>
      <c r="F85" s="14" t="s">
        <v>359</v>
      </c>
      <c r="L85" s="14">
        <v>116</v>
      </c>
      <c r="M85" s="14">
        <v>1</v>
      </c>
      <c r="N85" s="14" t="s">
        <v>357</v>
      </c>
      <c r="O85" s="14" t="s">
        <v>355</v>
      </c>
      <c r="Q85" s="14" t="str">
        <f t="shared" si="1"/>
        <v>Y</v>
      </c>
    </row>
    <row r="86" spans="1:17" s="14" customFormat="1" x14ac:dyDescent="0.25">
      <c r="A86" s="14" t="s">
        <v>268</v>
      </c>
      <c r="B86" s="17">
        <v>-76.397060999999994</v>
      </c>
      <c r="C86" s="17">
        <v>42.860402999999998</v>
      </c>
      <c r="D86" s="14">
        <v>1</v>
      </c>
      <c r="E86" s="14" t="s">
        <v>371</v>
      </c>
      <c r="F86" s="14" t="s">
        <v>360</v>
      </c>
      <c r="L86" s="14">
        <v>146</v>
      </c>
      <c r="M86" s="14">
        <v>1</v>
      </c>
      <c r="N86" s="14" t="s">
        <v>357</v>
      </c>
      <c r="O86" s="14" t="s">
        <v>355</v>
      </c>
      <c r="Q86" s="14" t="str">
        <f t="shared" si="1"/>
        <v>Y</v>
      </c>
    </row>
    <row r="87" spans="1:17" s="14" customFormat="1" x14ac:dyDescent="0.25">
      <c r="A87" s="14" t="s">
        <v>327</v>
      </c>
      <c r="B87" s="17">
        <v>-76.397060999999994</v>
      </c>
      <c r="C87" s="17">
        <v>42.860402999999998</v>
      </c>
      <c r="D87" s="14">
        <v>1</v>
      </c>
      <c r="E87" s="14" t="s">
        <v>371</v>
      </c>
      <c r="F87" s="14" t="s">
        <v>366</v>
      </c>
      <c r="L87" s="14">
        <v>13</v>
      </c>
      <c r="M87" s="14">
        <v>0</v>
      </c>
      <c r="N87" s="14" t="s">
        <v>357</v>
      </c>
      <c r="O87" s="14" t="s">
        <v>353</v>
      </c>
      <c r="Q87" s="14" t="str">
        <f t="shared" si="1"/>
        <v>Y</v>
      </c>
    </row>
    <row r="88" spans="1:17" s="14" customFormat="1" x14ac:dyDescent="0.25">
      <c r="A88" s="14" t="s">
        <v>115</v>
      </c>
      <c r="B88" s="17">
        <v>-76.396862999999996</v>
      </c>
      <c r="C88" s="17">
        <v>42.860430000000001</v>
      </c>
      <c r="D88" s="14">
        <v>2</v>
      </c>
      <c r="E88" s="14" t="s">
        <v>371</v>
      </c>
      <c r="F88" s="14" t="s">
        <v>359</v>
      </c>
      <c r="L88" s="14">
        <v>141</v>
      </c>
      <c r="M88" s="14">
        <v>1</v>
      </c>
      <c r="N88" s="14" t="s">
        <v>357</v>
      </c>
      <c r="O88" s="14" t="s">
        <v>354</v>
      </c>
      <c r="P88" s="14">
        <v>77</v>
      </c>
      <c r="Q88" s="14" t="str">
        <f t="shared" si="1"/>
        <v>Y</v>
      </c>
    </row>
    <row r="89" spans="1:17" s="14" customFormat="1" x14ac:dyDescent="0.25">
      <c r="A89" s="14" t="s">
        <v>269</v>
      </c>
      <c r="B89" s="17">
        <v>-76.396862999999996</v>
      </c>
      <c r="C89" s="17">
        <v>42.860430000000001</v>
      </c>
      <c r="D89" s="14">
        <v>2</v>
      </c>
      <c r="E89" s="14" t="s">
        <v>371</v>
      </c>
      <c r="F89" s="14" t="s">
        <v>360</v>
      </c>
      <c r="L89" s="14">
        <v>93</v>
      </c>
      <c r="M89" s="14">
        <v>0</v>
      </c>
      <c r="N89" s="14" t="s">
        <v>357</v>
      </c>
      <c r="O89" s="14" t="s">
        <v>354</v>
      </c>
      <c r="Q89" s="14" t="str">
        <f t="shared" si="1"/>
        <v>Y</v>
      </c>
    </row>
    <row r="90" spans="1:17" s="14" customFormat="1" x14ac:dyDescent="0.25">
      <c r="A90" s="14" t="s">
        <v>116</v>
      </c>
      <c r="B90" s="17">
        <v>-76.360286000000002</v>
      </c>
      <c r="C90" s="17">
        <v>42.861507000000003</v>
      </c>
      <c r="D90" s="14">
        <v>3</v>
      </c>
      <c r="E90" s="14" t="s">
        <v>371</v>
      </c>
      <c r="F90" s="14" t="s">
        <v>359</v>
      </c>
      <c r="L90" s="14">
        <v>330</v>
      </c>
      <c r="M90" s="14">
        <v>2</v>
      </c>
      <c r="N90" s="14" t="s">
        <v>352</v>
      </c>
      <c r="O90" s="14" t="s">
        <v>355</v>
      </c>
      <c r="P90" s="14">
        <v>233</v>
      </c>
      <c r="Q90" s="14" t="str">
        <f t="shared" si="1"/>
        <v>Y</v>
      </c>
    </row>
    <row r="91" spans="1:17" s="14" customFormat="1" x14ac:dyDescent="0.25">
      <c r="A91" s="14" t="s">
        <v>270</v>
      </c>
      <c r="B91" s="17">
        <v>-76.360286000000002</v>
      </c>
      <c r="C91" s="17">
        <v>42.861507000000003</v>
      </c>
      <c r="D91" s="14">
        <v>3</v>
      </c>
      <c r="E91" s="14" t="s">
        <v>371</v>
      </c>
      <c r="F91" s="14" t="s">
        <v>360</v>
      </c>
      <c r="L91" s="14">
        <v>407</v>
      </c>
      <c r="M91" s="14">
        <v>2</v>
      </c>
      <c r="N91" s="14" t="s">
        <v>352</v>
      </c>
      <c r="O91" s="14" t="s">
        <v>355</v>
      </c>
      <c r="Q91" s="14" t="str">
        <f t="shared" si="1"/>
        <v>Y</v>
      </c>
    </row>
    <row r="92" spans="1:17" s="14" customFormat="1" x14ac:dyDescent="0.25">
      <c r="A92" s="14" t="s">
        <v>117</v>
      </c>
      <c r="B92" s="17">
        <v>-76.396591999999998</v>
      </c>
      <c r="C92" s="17">
        <v>42.860554999999998</v>
      </c>
      <c r="D92" s="14">
        <v>3</v>
      </c>
      <c r="E92" s="14" t="s">
        <v>371</v>
      </c>
      <c r="F92" s="14" t="s">
        <v>359</v>
      </c>
      <c r="L92" s="14">
        <v>82</v>
      </c>
      <c r="M92" s="14">
        <v>1</v>
      </c>
      <c r="N92" s="14" t="s">
        <v>352</v>
      </c>
      <c r="O92" s="14" t="s">
        <v>354</v>
      </c>
      <c r="P92" s="14">
        <v>39</v>
      </c>
      <c r="Q92" s="14" t="str">
        <f t="shared" si="1"/>
        <v>Y</v>
      </c>
    </row>
    <row r="93" spans="1:17" s="14" customFormat="1" x14ac:dyDescent="0.25">
      <c r="A93" s="14" t="s">
        <v>328</v>
      </c>
      <c r="B93" s="17">
        <v>-76.396591999999998</v>
      </c>
      <c r="C93" s="17">
        <v>42.860554999999998</v>
      </c>
      <c r="D93" s="14">
        <v>3</v>
      </c>
      <c r="E93" s="14" t="s">
        <v>371</v>
      </c>
      <c r="F93" s="14" t="s">
        <v>360</v>
      </c>
      <c r="L93" s="14">
        <v>32</v>
      </c>
      <c r="M93" s="14">
        <v>0</v>
      </c>
      <c r="N93" s="14" t="s">
        <v>352</v>
      </c>
      <c r="O93" s="14" t="s">
        <v>356</v>
      </c>
      <c r="Q93" s="14" t="str">
        <f t="shared" si="1"/>
        <v>Y</v>
      </c>
    </row>
    <row r="94" spans="1:17" s="14" customFormat="1" x14ac:dyDescent="0.25">
      <c r="A94" s="14" t="s">
        <v>118</v>
      </c>
      <c r="B94" s="17">
        <v>-76.361412999999999</v>
      </c>
      <c r="C94" s="17">
        <v>42.861387999999998</v>
      </c>
      <c r="D94" s="14">
        <v>5</v>
      </c>
      <c r="E94" s="14" t="s">
        <v>371</v>
      </c>
      <c r="F94" s="14" t="s">
        <v>359</v>
      </c>
      <c r="L94" s="14">
        <v>0</v>
      </c>
      <c r="M94" s="14">
        <v>0</v>
      </c>
      <c r="N94" s="14" t="s">
        <v>352</v>
      </c>
      <c r="O94" s="14" t="s">
        <v>356</v>
      </c>
      <c r="P94" s="14">
        <v>526</v>
      </c>
      <c r="Q94" s="14" t="str">
        <f t="shared" si="1"/>
        <v>Y</v>
      </c>
    </row>
    <row r="95" spans="1:17" s="14" customFormat="1" x14ac:dyDescent="0.25">
      <c r="A95" s="14" t="s">
        <v>329</v>
      </c>
      <c r="B95" s="17">
        <v>-76.361412999999999</v>
      </c>
      <c r="C95" s="17">
        <v>42.861387999999998</v>
      </c>
      <c r="D95" s="14">
        <v>5</v>
      </c>
      <c r="E95" s="14" t="s">
        <v>371</v>
      </c>
      <c r="F95" s="14" t="s">
        <v>360</v>
      </c>
      <c r="L95" s="14">
        <v>0</v>
      </c>
      <c r="M95" s="14">
        <v>0</v>
      </c>
      <c r="N95" s="14" t="s">
        <v>352</v>
      </c>
      <c r="O95" s="14" t="s">
        <v>356</v>
      </c>
      <c r="Q95" s="14" t="str">
        <f t="shared" si="1"/>
        <v>Y</v>
      </c>
    </row>
    <row r="96" spans="1:17" s="14" customFormat="1" x14ac:dyDescent="0.25">
      <c r="A96" s="14" t="s">
        <v>31</v>
      </c>
      <c r="B96" s="17">
        <v>-76.396331000000004</v>
      </c>
      <c r="C96" s="17">
        <v>42.860674000000003</v>
      </c>
      <c r="D96" s="14">
        <v>5</v>
      </c>
      <c r="E96" s="14" t="s">
        <v>371</v>
      </c>
      <c r="F96" s="14" t="s">
        <v>359</v>
      </c>
      <c r="G96" s="14">
        <v>16</v>
      </c>
      <c r="I96" s="14">
        <v>0</v>
      </c>
      <c r="L96" s="14">
        <v>0</v>
      </c>
      <c r="M96" s="14">
        <v>0</v>
      </c>
      <c r="N96" s="14" t="s">
        <v>352</v>
      </c>
      <c r="O96" s="14" t="s">
        <v>356</v>
      </c>
      <c r="P96" s="14">
        <v>186</v>
      </c>
      <c r="Q96" s="14" t="str">
        <f t="shared" si="1"/>
        <v>Y</v>
      </c>
    </row>
    <row r="97" spans="1:17" s="14" customFormat="1" x14ac:dyDescent="0.25">
      <c r="A97" s="14" t="s">
        <v>32</v>
      </c>
      <c r="B97" s="17">
        <v>-76.396331000000004</v>
      </c>
      <c r="C97" s="17">
        <v>42.860674000000003</v>
      </c>
      <c r="D97" s="14">
        <v>5</v>
      </c>
      <c r="E97" s="14" t="s">
        <v>371</v>
      </c>
      <c r="F97" s="14" t="s">
        <v>360</v>
      </c>
      <c r="G97" s="14">
        <v>54</v>
      </c>
      <c r="I97" s="14">
        <v>0</v>
      </c>
      <c r="L97" s="14">
        <v>0</v>
      </c>
      <c r="M97" s="14">
        <v>0</v>
      </c>
      <c r="N97" s="14" t="s">
        <v>352</v>
      </c>
      <c r="O97" s="14" t="s">
        <v>356</v>
      </c>
      <c r="Q97" s="14" t="str">
        <f t="shared" si="1"/>
        <v>Y</v>
      </c>
    </row>
    <row r="98" spans="1:17" s="14" customFormat="1" x14ac:dyDescent="0.25">
      <c r="A98" s="14" t="s">
        <v>119</v>
      </c>
      <c r="B98" s="17">
        <v>-76.361647000000005</v>
      </c>
      <c r="C98" s="17">
        <v>42.861142999999998</v>
      </c>
      <c r="D98" s="14">
        <v>8</v>
      </c>
      <c r="E98" s="14" t="s">
        <v>371</v>
      </c>
      <c r="F98" s="14" t="s">
        <v>359</v>
      </c>
      <c r="L98" s="14">
        <v>0</v>
      </c>
      <c r="M98" s="14">
        <v>0</v>
      </c>
      <c r="N98" s="14" t="s">
        <v>352</v>
      </c>
      <c r="O98" s="14" t="s">
        <v>356</v>
      </c>
      <c r="P98" s="14">
        <v>628</v>
      </c>
      <c r="Q98" s="14" t="str">
        <f t="shared" si="1"/>
        <v>Y</v>
      </c>
    </row>
    <row r="99" spans="1:17" s="14" customFormat="1" x14ac:dyDescent="0.25">
      <c r="A99" s="14" t="s">
        <v>330</v>
      </c>
      <c r="B99" s="17">
        <v>-76.361647000000005</v>
      </c>
      <c r="C99" s="17">
        <v>42.861142999999998</v>
      </c>
      <c r="D99" s="14">
        <v>8</v>
      </c>
      <c r="E99" s="14" t="s">
        <v>371</v>
      </c>
      <c r="F99" s="14" t="s">
        <v>360</v>
      </c>
      <c r="L99" s="14">
        <v>0</v>
      </c>
      <c r="M99" s="14">
        <v>1</v>
      </c>
      <c r="N99" s="14" t="s">
        <v>352</v>
      </c>
      <c r="O99" s="14" t="s">
        <v>356</v>
      </c>
      <c r="Q99" s="14" t="str">
        <f t="shared" si="1"/>
        <v>Y</v>
      </c>
    </row>
    <row r="100" spans="1:17" s="14" customFormat="1" x14ac:dyDescent="0.25">
      <c r="A100" s="14" t="s">
        <v>120</v>
      </c>
      <c r="B100" s="17">
        <v>-76.395853000000002</v>
      </c>
      <c r="C100" s="17">
        <v>42.861189000000003</v>
      </c>
      <c r="D100" s="14">
        <v>8</v>
      </c>
      <c r="E100" s="14" t="s">
        <v>371</v>
      </c>
      <c r="F100" s="14" t="s">
        <v>359</v>
      </c>
      <c r="L100" s="14">
        <v>90</v>
      </c>
      <c r="M100" s="14">
        <v>1</v>
      </c>
      <c r="N100" s="14" t="s">
        <v>352</v>
      </c>
      <c r="O100" s="14" t="s">
        <v>355</v>
      </c>
      <c r="P100" s="14">
        <v>792</v>
      </c>
      <c r="Q100" s="14" t="str">
        <f t="shared" si="1"/>
        <v>Y</v>
      </c>
    </row>
    <row r="101" spans="1:17" s="14" customFormat="1" x14ac:dyDescent="0.25">
      <c r="A101" s="14" t="s">
        <v>271</v>
      </c>
      <c r="B101" s="17">
        <v>-76.395853000000002</v>
      </c>
      <c r="C101" s="17">
        <v>42.861189000000003</v>
      </c>
      <c r="D101" s="14">
        <v>8</v>
      </c>
      <c r="E101" s="14" t="s">
        <v>371</v>
      </c>
      <c r="F101" s="14" t="s">
        <v>360</v>
      </c>
      <c r="L101" s="14">
        <v>86</v>
      </c>
      <c r="M101" s="14">
        <v>1</v>
      </c>
      <c r="N101" s="14" t="s">
        <v>352</v>
      </c>
      <c r="O101" s="14" t="s">
        <v>355</v>
      </c>
      <c r="Q101" s="14" t="str">
        <f t="shared" si="1"/>
        <v>Y</v>
      </c>
    </row>
    <row r="102" spans="1:17" s="14" customFormat="1" x14ac:dyDescent="0.25">
      <c r="A102" s="14" t="s">
        <v>121</v>
      </c>
      <c r="B102" s="17">
        <v>-76.361936</v>
      </c>
      <c r="C102" s="17">
        <v>42.861255999999997</v>
      </c>
      <c r="D102" s="14">
        <v>10</v>
      </c>
      <c r="E102" s="14" t="s">
        <v>371</v>
      </c>
      <c r="F102" s="14" t="s">
        <v>359</v>
      </c>
      <c r="L102" s="14">
        <v>300</v>
      </c>
      <c r="M102" s="14">
        <v>2</v>
      </c>
      <c r="N102" s="14" t="s">
        <v>352</v>
      </c>
      <c r="O102" s="14" t="s">
        <v>355</v>
      </c>
      <c r="P102" s="14">
        <v>597</v>
      </c>
      <c r="Q102" s="14" t="str">
        <f t="shared" si="1"/>
        <v>Y</v>
      </c>
    </row>
    <row r="103" spans="1:17" s="14" customFormat="1" x14ac:dyDescent="0.25">
      <c r="A103" s="14" t="s">
        <v>272</v>
      </c>
      <c r="B103" s="17">
        <v>-76.361936</v>
      </c>
      <c r="C103" s="17">
        <v>42.861255999999997</v>
      </c>
      <c r="D103" s="14">
        <v>10</v>
      </c>
      <c r="E103" s="14" t="s">
        <v>371</v>
      </c>
      <c r="F103" s="14" t="s">
        <v>360</v>
      </c>
      <c r="L103" s="14">
        <v>120</v>
      </c>
      <c r="M103" s="14">
        <v>1</v>
      </c>
      <c r="N103" s="14" t="s">
        <v>352</v>
      </c>
      <c r="O103" s="14" t="s">
        <v>354</v>
      </c>
      <c r="Q103" s="14" t="str">
        <f t="shared" si="1"/>
        <v>Y</v>
      </c>
    </row>
    <row r="104" spans="1:17" s="14" customFormat="1" x14ac:dyDescent="0.25">
      <c r="A104" s="14" t="s">
        <v>243</v>
      </c>
      <c r="B104" s="17">
        <v>-76.394419999999997</v>
      </c>
      <c r="C104" s="17">
        <v>42.861381000000002</v>
      </c>
      <c r="D104" s="14">
        <v>11</v>
      </c>
      <c r="E104" s="14" t="s">
        <v>371</v>
      </c>
      <c r="F104" s="14" t="s">
        <v>359</v>
      </c>
      <c r="L104" s="14">
        <v>91</v>
      </c>
      <c r="M104" s="14">
        <v>1</v>
      </c>
      <c r="N104" s="14" t="s">
        <v>352</v>
      </c>
      <c r="O104" s="14" t="s">
        <v>355</v>
      </c>
      <c r="P104" s="14">
        <v>0</v>
      </c>
      <c r="Q104" s="14" t="str">
        <f t="shared" si="1"/>
        <v>Y</v>
      </c>
    </row>
    <row r="105" spans="1:17" s="14" customFormat="1" x14ac:dyDescent="0.25">
      <c r="A105" s="14" t="s">
        <v>273</v>
      </c>
      <c r="B105" s="17">
        <v>-76.394419999999997</v>
      </c>
      <c r="C105" s="17">
        <v>42.861381000000002</v>
      </c>
      <c r="D105" s="14">
        <v>11</v>
      </c>
      <c r="E105" s="14" t="s">
        <v>371</v>
      </c>
      <c r="F105" s="14" t="s">
        <v>360</v>
      </c>
      <c r="L105" s="14">
        <v>94</v>
      </c>
      <c r="M105" s="14">
        <v>0</v>
      </c>
      <c r="N105" s="14" t="s">
        <v>352</v>
      </c>
      <c r="O105" s="14" t="s">
        <v>355</v>
      </c>
      <c r="Q105" s="14" t="str">
        <f t="shared" si="1"/>
        <v>Y</v>
      </c>
    </row>
    <row r="106" spans="1:17" s="14" customFormat="1" x14ac:dyDescent="0.25">
      <c r="A106" s="14" t="s">
        <v>122</v>
      </c>
      <c r="B106" s="17">
        <v>-76.362143000000003</v>
      </c>
      <c r="C106" s="17">
        <v>42.861348</v>
      </c>
      <c r="D106" s="14">
        <v>13</v>
      </c>
      <c r="E106" s="14" t="s">
        <v>371</v>
      </c>
      <c r="F106" s="14" t="s">
        <v>359</v>
      </c>
      <c r="L106" s="14">
        <v>73</v>
      </c>
      <c r="M106" s="14">
        <v>1</v>
      </c>
      <c r="N106" s="14" t="s">
        <v>352</v>
      </c>
      <c r="O106" s="14" t="s">
        <v>355</v>
      </c>
      <c r="P106" s="14">
        <v>239</v>
      </c>
      <c r="Q106" s="14" t="str">
        <f t="shared" si="1"/>
        <v>Y</v>
      </c>
    </row>
    <row r="107" spans="1:17" s="14" customFormat="1" x14ac:dyDescent="0.25">
      <c r="A107" s="14" t="s">
        <v>274</v>
      </c>
      <c r="B107" s="17">
        <v>-76.362143000000003</v>
      </c>
      <c r="C107" s="17">
        <v>42.861348</v>
      </c>
      <c r="D107" s="14">
        <v>13</v>
      </c>
      <c r="E107" s="14" t="s">
        <v>371</v>
      </c>
      <c r="F107" s="14" t="s">
        <v>360</v>
      </c>
      <c r="L107" s="14">
        <v>59</v>
      </c>
      <c r="M107" s="14">
        <v>1</v>
      </c>
      <c r="N107" s="14" t="s">
        <v>352</v>
      </c>
      <c r="O107" s="14" t="s">
        <v>355</v>
      </c>
      <c r="Q107" s="14" t="str">
        <f t="shared" si="1"/>
        <v>Y</v>
      </c>
    </row>
    <row r="108" spans="1:17" s="14" customFormat="1" x14ac:dyDescent="0.25">
      <c r="A108" s="14" t="s">
        <v>123</v>
      </c>
      <c r="B108" s="17">
        <v>-76.394076999999996</v>
      </c>
      <c r="C108" s="17">
        <v>42.861355000000003</v>
      </c>
      <c r="D108" s="14">
        <v>14</v>
      </c>
      <c r="E108" s="14" t="s">
        <v>371</v>
      </c>
      <c r="F108" s="14" t="s">
        <v>359</v>
      </c>
      <c r="L108" s="14">
        <v>38</v>
      </c>
      <c r="M108" s="14">
        <v>1</v>
      </c>
      <c r="N108" s="14" t="s">
        <v>352</v>
      </c>
      <c r="O108" s="14" t="s">
        <v>355</v>
      </c>
      <c r="P108" s="14">
        <v>194</v>
      </c>
      <c r="Q108" s="14" t="str">
        <f t="shared" si="1"/>
        <v>Y</v>
      </c>
    </row>
    <row r="109" spans="1:17" s="14" customFormat="1" x14ac:dyDescent="0.25">
      <c r="A109" s="14" t="s">
        <v>275</v>
      </c>
      <c r="B109" s="17">
        <v>-76.394076999999996</v>
      </c>
      <c r="C109" s="17">
        <v>42.861355000000003</v>
      </c>
      <c r="D109" s="14">
        <v>14</v>
      </c>
      <c r="E109" s="14" t="s">
        <v>371</v>
      </c>
      <c r="F109" s="14" t="s">
        <v>360</v>
      </c>
      <c r="L109" s="14">
        <v>59</v>
      </c>
      <c r="M109" s="14">
        <v>1</v>
      </c>
      <c r="N109" s="14" t="s">
        <v>352</v>
      </c>
      <c r="O109" s="14" t="s">
        <v>355</v>
      </c>
      <c r="Q109" s="14" t="str">
        <f t="shared" si="1"/>
        <v>Y</v>
      </c>
    </row>
    <row r="110" spans="1:17" s="14" customFormat="1" x14ac:dyDescent="0.25">
      <c r="A110" s="14" t="s">
        <v>124</v>
      </c>
      <c r="B110" s="17">
        <v>-76.362260000000006</v>
      </c>
      <c r="C110" s="17">
        <v>42.861367999999999</v>
      </c>
      <c r="D110" s="14">
        <v>17</v>
      </c>
      <c r="E110" s="14" t="s">
        <v>371</v>
      </c>
      <c r="F110" s="14" t="s">
        <v>359</v>
      </c>
      <c r="L110" s="14">
        <v>91</v>
      </c>
      <c r="M110" s="14">
        <v>0</v>
      </c>
      <c r="N110" s="14" t="s">
        <v>352</v>
      </c>
      <c r="O110" s="14" t="s">
        <v>355</v>
      </c>
      <c r="P110" s="14">
        <v>558</v>
      </c>
      <c r="Q110" s="14" t="str">
        <f t="shared" si="1"/>
        <v>Y</v>
      </c>
    </row>
    <row r="111" spans="1:17" s="14" customFormat="1" x14ac:dyDescent="0.25">
      <c r="A111" s="14" t="s">
        <v>276</v>
      </c>
      <c r="B111" s="17">
        <v>-76.362260000000006</v>
      </c>
      <c r="C111" s="17">
        <v>42.861367999999999</v>
      </c>
      <c r="D111" s="14">
        <v>17</v>
      </c>
      <c r="E111" s="14" t="s">
        <v>371</v>
      </c>
      <c r="F111" s="14" t="s">
        <v>360</v>
      </c>
      <c r="L111" s="14">
        <v>56</v>
      </c>
      <c r="M111" s="14">
        <v>2</v>
      </c>
      <c r="N111" s="14" t="s">
        <v>352</v>
      </c>
      <c r="O111" s="14" t="s">
        <v>355</v>
      </c>
      <c r="Q111" s="14" t="str">
        <f t="shared" si="1"/>
        <v>Y</v>
      </c>
    </row>
    <row r="112" spans="1:17" s="14" customFormat="1" x14ac:dyDescent="0.25">
      <c r="A112" s="14" t="s">
        <v>125</v>
      </c>
      <c r="B112" s="17">
        <v>-76.392347000000001</v>
      </c>
      <c r="C112" s="17">
        <v>42.861241999999997</v>
      </c>
      <c r="D112" s="14">
        <v>17</v>
      </c>
      <c r="E112" s="14" t="s">
        <v>371</v>
      </c>
      <c r="F112" s="14" t="s">
        <v>359</v>
      </c>
      <c r="L112" s="14">
        <v>299</v>
      </c>
      <c r="M112" s="14">
        <v>2</v>
      </c>
      <c r="N112" s="14" t="s">
        <v>352</v>
      </c>
      <c r="O112" s="14" t="s">
        <v>355</v>
      </c>
      <c r="P112" s="14">
        <v>48</v>
      </c>
      <c r="Q112" s="14" t="str">
        <f t="shared" si="1"/>
        <v>Y</v>
      </c>
    </row>
    <row r="113" spans="1:17" s="14" customFormat="1" x14ac:dyDescent="0.25">
      <c r="A113" s="14" t="s">
        <v>277</v>
      </c>
      <c r="B113" s="17">
        <v>-76.392347000000001</v>
      </c>
      <c r="C113" s="17">
        <v>42.861241999999997</v>
      </c>
      <c r="D113" s="14">
        <v>17</v>
      </c>
      <c r="E113" s="14" t="s">
        <v>371</v>
      </c>
      <c r="F113" s="14" t="s">
        <v>360</v>
      </c>
      <c r="L113" s="14">
        <v>305</v>
      </c>
      <c r="M113" s="14">
        <v>2</v>
      </c>
      <c r="N113" s="14" t="s">
        <v>352</v>
      </c>
      <c r="O113" s="14" t="s">
        <v>355</v>
      </c>
      <c r="Q113" s="14" t="str">
        <f t="shared" si="1"/>
        <v>Y</v>
      </c>
    </row>
    <row r="114" spans="1:17" s="14" customFormat="1" hidden="1" x14ac:dyDescent="0.25">
      <c r="A114" s="14" t="s">
        <v>126</v>
      </c>
      <c r="B114" s="17">
        <v>-76.391686945368605</v>
      </c>
      <c r="C114" s="17">
        <v>42.861189681781298</v>
      </c>
      <c r="D114" s="14">
        <v>20</v>
      </c>
      <c r="E114" s="14" t="s">
        <v>371</v>
      </c>
      <c r="F114" s="14" t="s">
        <v>359</v>
      </c>
      <c r="P114" s="14">
        <v>6</v>
      </c>
      <c r="Q114" s="14" t="str">
        <f t="shared" si="1"/>
        <v/>
      </c>
    </row>
    <row r="115" spans="1:17" s="14" customFormat="1" x14ac:dyDescent="0.25">
      <c r="A115" s="14" t="s">
        <v>127</v>
      </c>
      <c r="B115" s="17">
        <v>-76.362403999999998</v>
      </c>
      <c r="C115" s="17">
        <v>42.861474000000001</v>
      </c>
      <c r="D115" s="14">
        <v>21</v>
      </c>
      <c r="E115" s="14" t="s">
        <v>371</v>
      </c>
      <c r="F115" s="14" t="s">
        <v>359</v>
      </c>
      <c r="L115" s="14">
        <v>384</v>
      </c>
      <c r="M115" s="14">
        <v>1</v>
      </c>
      <c r="N115" s="14" t="s">
        <v>352</v>
      </c>
      <c r="O115" s="14" t="s">
        <v>355</v>
      </c>
      <c r="P115" s="14">
        <v>729</v>
      </c>
      <c r="Q115" s="14" t="str">
        <f t="shared" si="1"/>
        <v>Y</v>
      </c>
    </row>
    <row r="116" spans="1:17" s="14" customFormat="1" x14ac:dyDescent="0.25">
      <c r="A116" s="14" t="s">
        <v>128</v>
      </c>
      <c r="B116" s="17">
        <v>-76.362684000000002</v>
      </c>
      <c r="C116" s="17">
        <v>42.861790999999997</v>
      </c>
      <c r="D116" s="14">
        <v>22</v>
      </c>
      <c r="E116" s="14" t="s">
        <v>371</v>
      </c>
      <c r="F116" s="14" t="s">
        <v>359</v>
      </c>
      <c r="L116" s="14">
        <v>294</v>
      </c>
      <c r="M116" s="14">
        <v>0</v>
      </c>
      <c r="N116" s="14" t="s">
        <v>352</v>
      </c>
      <c r="O116" s="14" t="s">
        <v>355</v>
      </c>
      <c r="P116" s="14">
        <v>332</v>
      </c>
      <c r="Q116" s="14" t="str">
        <f t="shared" si="1"/>
        <v>Y</v>
      </c>
    </row>
    <row r="117" spans="1:17" s="14" customFormat="1" hidden="1" x14ac:dyDescent="0.25">
      <c r="A117" s="14" t="s">
        <v>129</v>
      </c>
      <c r="B117" s="17">
        <v>-76.362684000000002</v>
      </c>
      <c r="C117" s="17">
        <v>42.861790999999997</v>
      </c>
      <c r="D117" s="14">
        <v>22</v>
      </c>
      <c r="E117" s="14" t="s">
        <v>371</v>
      </c>
      <c r="F117" s="14" t="s">
        <v>360</v>
      </c>
      <c r="P117" s="14">
        <v>212</v>
      </c>
      <c r="Q117" s="14" t="str">
        <f t="shared" si="1"/>
        <v/>
      </c>
    </row>
    <row r="118" spans="1:17" s="14" customFormat="1" x14ac:dyDescent="0.25">
      <c r="A118" s="14" t="s">
        <v>130</v>
      </c>
      <c r="B118" s="17">
        <v>-76.391381999999993</v>
      </c>
      <c r="C118" s="17">
        <v>42.861215999999999</v>
      </c>
      <c r="D118" s="14">
        <v>22</v>
      </c>
      <c r="E118" s="14" t="s">
        <v>371</v>
      </c>
      <c r="F118" s="14" t="s">
        <v>359</v>
      </c>
      <c r="L118" s="14">
        <v>206</v>
      </c>
      <c r="M118" s="14">
        <v>2</v>
      </c>
      <c r="N118" s="14" t="s">
        <v>352</v>
      </c>
      <c r="O118" s="14" t="s">
        <v>355</v>
      </c>
      <c r="P118" s="14">
        <v>358</v>
      </c>
      <c r="Q118" s="14" t="str">
        <f t="shared" si="1"/>
        <v>Y</v>
      </c>
    </row>
    <row r="119" spans="1:17" s="14" customFormat="1" x14ac:dyDescent="0.25">
      <c r="A119" s="14" t="s">
        <v>278</v>
      </c>
      <c r="B119" s="17">
        <v>-76.391381999999993</v>
      </c>
      <c r="C119" s="17">
        <v>42.861215999999999</v>
      </c>
      <c r="D119" s="14">
        <v>22</v>
      </c>
      <c r="E119" s="14" t="s">
        <v>371</v>
      </c>
      <c r="F119" s="14" t="s">
        <v>360</v>
      </c>
      <c r="L119" s="14">
        <v>208</v>
      </c>
      <c r="M119" s="14">
        <v>2</v>
      </c>
      <c r="N119" s="14" t="s">
        <v>352</v>
      </c>
      <c r="O119" s="14" t="s">
        <v>355</v>
      </c>
      <c r="Q119" s="14" t="str">
        <f t="shared" si="1"/>
        <v>Y</v>
      </c>
    </row>
    <row r="120" spans="1:17" s="14" customFormat="1" x14ac:dyDescent="0.25">
      <c r="A120" s="14" t="s">
        <v>131</v>
      </c>
      <c r="B120" s="17">
        <v>-76.390788000000001</v>
      </c>
      <c r="C120" s="17">
        <v>42.861302000000002</v>
      </c>
      <c r="D120" s="14">
        <v>24</v>
      </c>
      <c r="E120" s="14" t="s">
        <v>371</v>
      </c>
      <c r="F120" s="14" t="s">
        <v>359</v>
      </c>
      <c r="L120" s="14">
        <v>178</v>
      </c>
      <c r="M120" s="14">
        <v>1</v>
      </c>
      <c r="N120" s="14" t="s">
        <v>352</v>
      </c>
      <c r="O120" s="14" t="s">
        <v>355</v>
      </c>
      <c r="P120" s="14">
        <v>102</v>
      </c>
      <c r="Q120" s="14" t="str">
        <f t="shared" si="1"/>
        <v>Y</v>
      </c>
    </row>
    <row r="121" spans="1:17" s="14" customFormat="1" x14ac:dyDescent="0.25">
      <c r="A121" s="14" t="s">
        <v>132</v>
      </c>
      <c r="B121" s="17">
        <v>-76.362836999999999</v>
      </c>
      <c r="C121" s="17">
        <v>42.861255999999997</v>
      </c>
      <c r="D121" s="14">
        <v>31</v>
      </c>
      <c r="E121" s="14" t="s">
        <v>371</v>
      </c>
      <c r="F121" s="14" t="s">
        <v>359</v>
      </c>
      <c r="L121" s="14">
        <v>318</v>
      </c>
      <c r="M121" s="14">
        <v>2</v>
      </c>
      <c r="N121" s="14" t="s">
        <v>352</v>
      </c>
      <c r="O121" s="14" t="s">
        <v>355</v>
      </c>
      <c r="P121" s="14">
        <v>89</v>
      </c>
      <c r="Q121" s="14" t="str">
        <f t="shared" si="1"/>
        <v>Y</v>
      </c>
    </row>
    <row r="122" spans="1:17" s="14" customFormat="1" x14ac:dyDescent="0.25">
      <c r="A122" s="14" t="s">
        <v>133</v>
      </c>
      <c r="B122" s="17">
        <v>-76.389706000000004</v>
      </c>
      <c r="C122" s="17">
        <v>42.861209000000002</v>
      </c>
      <c r="D122" s="14">
        <v>31</v>
      </c>
      <c r="E122" s="14" t="s">
        <v>371</v>
      </c>
      <c r="F122" s="14" t="s">
        <v>359</v>
      </c>
      <c r="L122" s="14">
        <v>149</v>
      </c>
      <c r="M122" s="14">
        <v>1</v>
      </c>
      <c r="N122" s="14" t="s">
        <v>352</v>
      </c>
      <c r="O122" s="14" t="s">
        <v>355</v>
      </c>
      <c r="P122" s="14">
        <v>101</v>
      </c>
      <c r="Q122" s="14" t="str">
        <f t="shared" si="1"/>
        <v>Y</v>
      </c>
    </row>
    <row r="123" spans="1:17" s="14" customFormat="1" x14ac:dyDescent="0.25">
      <c r="A123" s="14" t="s">
        <v>134</v>
      </c>
      <c r="B123" s="17">
        <v>-76.363459000000006</v>
      </c>
      <c r="C123" s="17">
        <v>42.861282000000003</v>
      </c>
      <c r="D123" s="14">
        <v>38</v>
      </c>
      <c r="E123" s="14" t="s">
        <v>371</v>
      </c>
      <c r="F123" s="14" t="s">
        <v>359</v>
      </c>
      <c r="L123" s="14">
        <v>250</v>
      </c>
      <c r="M123" s="14">
        <v>2</v>
      </c>
      <c r="N123" s="14" t="s">
        <v>352</v>
      </c>
      <c r="O123" s="14" t="s">
        <v>355</v>
      </c>
      <c r="P123" s="14">
        <v>117</v>
      </c>
      <c r="Q123" s="14" t="str">
        <f t="shared" si="1"/>
        <v>Y</v>
      </c>
    </row>
    <row r="124" spans="1:17" s="14" customFormat="1" x14ac:dyDescent="0.25">
      <c r="A124" s="14" t="s">
        <v>135</v>
      </c>
      <c r="B124" s="17">
        <v>-76.388642000000004</v>
      </c>
      <c r="C124" s="17">
        <v>42.861122999999999</v>
      </c>
      <c r="D124" s="14">
        <v>38</v>
      </c>
      <c r="E124" s="14" t="s">
        <v>371</v>
      </c>
      <c r="F124" s="14" t="s">
        <v>359</v>
      </c>
      <c r="L124" s="14">
        <v>155</v>
      </c>
      <c r="M124" s="14">
        <v>2</v>
      </c>
      <c r="N124" s="14" t="s">
        <v>352</v>
      </c>
      <c r="O124" s="14" t="s">
        <v>355</v>
      </c>
      <c r="P124" s="14">
        <v>102</v>
      </c>
      <c r="Q124" s="14" t="str">
        <f t="shared" si="1"/>
        <v>Y</v>
      </c>
    </row>
    <row r="125" spans="1:17" s="14" customFormat="1" x14ac:dyDescent="0.25">
      <c r="A125" s="14" t="s">
        <v>136</v>
      </c>
      <c r="B125" s="17">
        <v>-76.389706000000004</v>
      </c>
      <c r="C125" s="17">
        <v>42.861209000000002</v>
      </c>
      <c r="D125" s="14">
        <v>38</v>
      </c>
      <c r="E125" s="14" t="s">
        <v>371</v>
      </c>
      <c r="F125" s="14" t="s">
        <v>360</v>
      </c>
      <c r="L125" s="14">
        <v>172</v>
      </c>
      <c r="M125" s="14">
        <v>2</v>
      </c>
      <c r="N125" s="14" t="s">
        <v>352</v>
      </c>
      <c r="O125" s="14" t="s">
        <v>355</v>
      </c>
      <c r="P125" s="14">
        <v>61</v>
      </c>
      <c r="Q125" s="14" t="str">
        <f t="shared" si="1"/>
        <v>Y</v>
      </c>
    </row>
    <row r="126" spans="1:17" s="14" customFormat="1" x14ac:dyDescent="0.25">
      <c r="A126" s="14" t="s">
        <v>137</v>
      </c>
      <c r="B126" s="17">
        <v>-76.387677999999994</v>
      </c>
      <c r="C126" s="17">
        <v>42.861196</v>
      </c>
      <c r="D126" s="14">
        <v>43</v>
      </c>
      <c r="E126" s="14" t="s">
        <v>371</v>
      </c>
      <c r="F126" s="14" t="s">
        <v>359</v>
      </c>
      <c r="L126" s="14">
        <v>123</v>
      </c>
      <c r="M126" s="14">
        <v>2</v>
      </c>
      <c r="N126" s="14" t="s">
        <v>352</v>
      </c>
      <c r="O126" s="14" t="s">
        <v>355</v>
      </c>
      <c r="P126" s="14">
        <v>111</v>
      </c>
      <c r="Q126" s="14" t="str">
        <f t="shared" si="1"/>
        <v>Y</v>
      </c>
    </row>
    <row r="127" spans="1:17" s="14" customFormat="1" x14ac:dyDescent="0.25">
      <c r="A127" s="14" t="s">
        <v>138</v>
      </c>
      <c r="B127" s="17">
        <v>-76.363928000000001</v>
      </c>
      <c r="C127" s="17">
        <v>42.861196</v>
      </c>
      <c r="D127" s="14">
        <v>46</v>
      </c>
      <c r="E127" s="14" t="s">
        <v>371</v>
      </c>
      <c r="F127" s="14" t="s">
        <v>359</v>
      </c>
      <c r="L127" s="14">
        <v>225</v>
      </c>
      <c r="M127" s="14">
        <v>2</v>
      </c>
      <c r="N127" s="14" t="s">
        <v>352</v>
      </c>
      <c r="O127" s="14" t="s">
        <v>355</v>
      </c>
      <c r="P127" s="14">
        <v>312</v>
      </c>
      <c r="Q127" s="14" t="str">
        <f t="shared" si="1"/>
        <v>Y</v>
      </c>
    </row>
    <row r="128" spans="1:17" s="14" customFormat="1" x14ac:dyDescent="0.25">
      <c r="A128" s="14" t="s">
        <v>139</v>
      </c>
      <c r="B128" s="17">
        <v>-76.364478000000005</v>
      </c>
      <c r="C128" s="17">
        <v>42.861229000000002</v>
      </c>
      <c r="D128" s="14">
        <v>52</v>
      </c>
      <c r="E128" s="14" t="s">
        <v>371</v>
      </c>
      <c r="F128" s="14" t="s">
        <v>359</v>
      </c>
      <c r="L128" s="14">
        <v>161</v>
      </c>
      <c r="M128" s="14">
        <v>2</v>
      </c>
      <c r="N128" s="14" t="s">
        <v>352</v>
      </c>
      <c r="O128" s="14" t="s">
        <v>355</v>
      </c>
      <c r="P128" s="14">
        <v>97</v>
      </c>
      <c r="Q128" s="14" t="str">
        <f t="shared" si="1"/>
        <v>Y</v>
      </c>
    </row>
    <row r="129" spans="1:17" s="14" customFormat="1" x14ac:dyDescent="0.25">
      <c r="A129" s="14" t="s">
        <v>140</v>
      </c>
      <c r="B129" s="17">
        <v>-76.387028999999998</v>
      </c>
      <c r="C129" s="17">
        <v>42.861274999999999</v>
      </c>
      <c r="D129" s="14">
        <v>52</v>
      </c>
      <c r="E129" s="14" t="s">
        <v>371</v>
      </c>
      <c r="F129" s="14" t="s">
        <v>359</v>
      </c>
      <c r="L129" s="14">
        <v>60</v>
      </c>
      <c r="M129" s="14">
        <v>2</v>
      </c>
      <c r="N129" s="14" t="s">
        <v>352</v>
      </c>
      <c r="O129" s="14" t="s">
        <v>355</v>
      </c>
      <c r="P129" s="14">
        <v>96</v>
      </c>
      <c r="Q129" s="14" t="str">
        <f t="shared" si="1"/>
        <v>Y</v>
      </c>
    </row>
    <row r="130" spans="1:17" s="14" customFormat="1" hidden="1" x14ac:dyDescent="0.25">
      <c r="A130" s="14" t="s">
        <v>141</v>
      </c>
      <c r="B130" s="17">
        <v>-76.386930972115593</v>
      </c>
      <c r="C130" s="17">
        <v>42.8612825105307</v>
      </c>
      <c r="D130" s="14">
        <v>53</v>
      </c>
      <c r="E130" s="14" t="s">
        <v>371</v>
      </c>
      <c r="F130" s="14" t="s">
        <v>359</v>
      </c>
      <c r="P130" s="14">
        <v>97</v>
      </c>
      <c r="Q130" s="14" t="str">
        <f t="shared" si="1"/>
        <v/>
      </c>
    </row>
    <row r="131" spans="1:17" s="14" customFormat="1" hidden="1" x14ac:dyDescent="0.25">
      <c r="A131" s="14" t="s">
        <v>142</v>
      </c>
      <c r="B131" s="17">
        <v>-76.364891999999998</v>
      </c>
      <c r="C131" s="17">
        <v>42.861109999999996</v>
      </c>
      <c r="D131" s="14">
        <v>58</v>
      </c>
      <c r="E131" s="14" t="s">
        <v>371</v>
      </c>
      <c r="F131" s="14" t="s">
        <v>359</v>
      </c>
      <c r="P131" s="14">
        <v>84</v>
      </c>
      <c r="Q131" s="14" t="str">
        <f t="shared" ref="Q131:Q194" si="2">IF(OR(M131&lt;&gt;"", I131&lt;&gt;""), "Y", "")</f>
        <v/>
      </c>
    </row>
    <row r="132" spans="1:17" s="14" customFormat="1" hidden="1" x14ac:dyDescent="0.25">
      <c r="A132" s="14" t="s">
        <v>143</v>
      </c>
      <c r="B132" s="17">
        <v>-76.364891999999998</v>
      </c>
      <c r="C132" s="17">
        <v>42.861109999999996</v>
      </c>
      <c r="D132" s="14">
        <v>58</v>
      </c>
      <c r="E132" s="14" t="s">
        <v>371</v>
      </c>
      <c r="F132" s="14" t="s">
        <v>360</v>
      </c>
      <c r="P132" s="14">
        <v>84</v>
      </c>
      <c r="Q132" s="14" t="str">
        <f t="shared" si="2"/>
        <v/>
      </c>
    </row>
    <row r="133" spans="1:17" s="14" customFormat="1" hidden="1" x14ac:dyDescent="0.25">
      <c r="A133" s="14" t="s">
        <v>144</v>
      </c>
      <c r="B133" s="17">
        <v>-76.386362000000005</v>
      </c>
      <c r="C133" s="17">
        <v>42.861499999999999</v>
      </c>
      <c r="D133" s="14">
        <v>60</v>
      </c>
      <c r="E133" s="14" t="s">
        <v>371</v>
      </c>
      <c r="F133" s="14" t="s">
        <v>359</v>
      </c>
      <c r="P133" s="14">
        <v>92</v>
      </c>
      <c r="Q133" s="14" t="str">
        <f t="shared" si="2"/>
        <v/>
      </c>
    </row>
    <row r="134" spans="1:17" s="14" customFormat="1" hidden="1" x14ac:dyDescent="0.25">
      <c r="A134" s="14" t="s">
        <v>145</v>
      </c>
      <c r="B134" s="17">
        <v>-76.365226000000007</v>
      </c>
      <c r="C134" s="17">
        <v>42.861077000000002</v>
      </c>
      <c r="D134" s="14">
        <v>62</v>
      </c>
      <c r="E134" s="14" t="s">
        <v>371</v>
      </c>
      <c r="F134" s="14" t="s">
        <v>359</v>
      </c>
      <c r="P134" s="14">
        <v>27</v>
      </c>
      <c r="Q134" s="14" t="str">
        <f t="shared" si="2"/>
        <v/>
      </c>
    </row>
    <row r="135" spans="1:17" s="14" customFormat="1" hidden="1" x14ac:dyDescent="0.25">
      <c r="A135" s="14" t="s">
        <v>146</v>
      </c>
      <c r="B135" s="17">
        <v>-76.385937999999996</v>
      </c>
      <c r="C135" s="17">
        <v>42.861426999999999</v>
      </c>
      <c r="D135" s="14">
        <v>65</v>
      </c>
      <c r="E135" s="14" t="s">
        <v>371</v>
      </c>
      <c r="F135" s="14" t="s">
        <v>359</v>
      </c>
      <c r="P135" s="14">
        <v>3</v>
      </c>
      <c r="Q135" s="14" t="str">
        <f t="shared" si="2"/>
        <v/>
      </c>
    </row>
    <row r="136" spans="1:17" s="14" customFormat="1" hidden="1" x14ac:dyDescent="0.25">
      <c r="A136" s="14" t="s">
        <v>147</v>
      </c>
      <c r="B136" s="17">
        <v>-76.366180999999997</v>
      </c>
      <c r="C136" s="17">
        <v>42.861440999999999</v>
      </c>
      <c r="D136" s="14">
        <v>69</v>
      </c>
      <c r="E136" s="14" t="s">
        <v>371</v>
      </c>
      <c r="F136" s="14" t="s">
        <v>359</v>
      </c>
      <c r="P136" s="14">
        <v>36</v>
      </c>
      <c r="Q136" s="14" t="str">
        <f t="shared" si="2"/>
        <v/>
      </c>
    </row>
    <row r="137" spans="1:17" s="14" customFormat="1" hidden="1" x14ac:dyDescent="0.25">
      <c r="A137" s="14" t="s">
        <v>246</v>
      </c>
      <c r="B137" s="17">
        <v>-76.385028000000005</v>
      </c>
      <c r="C137" s="17">
        <v>42.861592000000002</v>
      </c>
      <c r="D137" s="14">
        <v>70</v>
      </c>
      <c r="E137" s="14" t="s">
        <v>371</v>
      </c>
      <c r="F137" s="14" t="s">
        <v>359</v>
      </c>
      <c r="P137" s="14">
        <v>0</v>
      </c>
      <c r="Q137" s="14" t="str">
        <f t="shared" si="2"/>
        <v/>
      </c>
    </row>
    <row r="138" spans="1:17" s="14" customFormat="1" hidden="1" x14ac:dyDescent="0.25">
      <c r="A138" s="14" t="s">
        <v>148</v>
      </c>
      <c r="B138" s="17">
        <v>-76.366172000000006</v>
      </c>
      <c r="C138" s="17">
        <v>42.861162999999998</v>
      </c>
      <c r="D138" s="14">
        <v>71</v>
      </c>
      <c r="E138" s="14" t="s">
        <v>371</v>
      </c>
      <c r="F138" s="14" t="s">
        <v>359</v>
      </c>
      <c r="P138" s="14">
        <v>44</v>
      </c>
      <c r="Q138" s="14" t="str">
        <f t="shared" si="2"/>
        <v/>
      </c>
    </row>
    <row r="139" spans="1:17" s="14" customFormat="1" hidden="1" x14ac:dyDescent="0.25">
      <c r="A139" s="14" t="s">
        <v>149</v>
      </c>
      <c r="B139" s="17">
        <v>-76.375022999999999</v>
      </c>
      <c r="C139" s="17">
        <v>42.861203000000003</v>
      </c>
      <c r="D139" s="14">
        <v>75</v>
      </c>
      <c r="E139" s="14" t="s">
        <v>371</v>
      </c>
      <c r="F139" s="14" t="s">
        <v>359</v>
      </c>
      <c r="P139" s="14">
        <v>22</v>
      </c>
      <c r="Q139" s="14" t="str">
        <f t="shared" si="2"/>
        <v/>
      </c>
    </row>
    <row r="140" spans="1:17" s="14" customFormat="1" hidden="1" x14ac:dyDescent="0.25">
      <c r="A140" s="14" t="s">
        <v>150</v>
      </c>
      <c r="B140" s="17">
        <v>-76.371301000000003</v>
      </c>
      <c r="C140" s="17">
        <v>42.861203000000003</v>
      </c>
      <c r="D140" s="14">
        <v>77</v>
      </c>
      <c r="E140" s="14" t="s">
        <v>371</v>
      </c>
      <c r="F140" s="14" t="s">
        <v>359</v>
      </c>
      <c r="P140" s="14">
        <v>13</v>
      </c>
      <c r="Q140" s="14" t="str">
        <f t="shared" si="2"/>
        <v/>
      </c>
    </row>
    <row r="141" spans="1:17" s="14" customFormat="1" hidden="1" x14ac:dyDescent="0.25">
      <c r="A141" s="14" t="s">
        <v>151</v>
      </c>
      <c r="B141" s="17">
        <v>-76.370633999999995</v>
      </c>
      <c r="C141" s="17">
        <v>42.861269</v>
      </c>
      <c r="D141" s="14">
        <v>77</v>
      </c>
      <c r="E141" s="14" t="s">
        <v>371</v>
      </c>
      <c r="F141" s="14" t="s">
        <v>360</v>
      </c>
      <c r="P141" s="14">
        <v>1</v>
      </c>
      <c r="Q141" s="14" t="str">
        <f t="shared" si="2"/>
        <v/>
      </c>
    </row>
    <row r="142" spans="1:17" s="14" customFormat="1" hidden="1" x14ac:dyDescent="0.25">
      <c r="A142" s="14" t="s">
        <v>152</v>
      </c>
      <c r="B142" s="17">
        <v>-76.378979999999999</v>
      </c>
      <c r="C142" s="17">
        <v>42.861288999999999</v>
      </c>
      <c r="D142" s="14">
        <v>79</v>
      </c>
      <c r="E142" s="14" t="s">
        <v>371</v>
      </c>
      <c r="F142" s="14" t="s">
        <v>359</v>
      </c>
      <c r="P142" s="14">
        <v>19</v>
      </c>
      <c r="Q142" s="14" t="str">
        <f t="shared" si="2"/>
        <v/>
      </c>
    </row>
    <row r="143" spans="1:17" s="14" customFormat="1" hidden="1" x14ac:dyDescent="0.25">
      <c r="A143" s="14" t="s">
        <v>153</v>
      </c>
      <c r="B143" s="17">
        <v>-76.377726999999993</v>
      </c>
      <c r="C143" s="17">
        <v>42.861241999999997</v>
      </c>
      <c r="D143" s="14">
        <v>80</v>
      </c>
      <c r="E143" s="14" t="s">
        <v>371</v>
      </c>
      <c r="F143" s="14" t="s">
        <v>359</v>
      </c>
      <c r="P143" s="14">
        <v>12</v>
      </c>
      <c r="Q143" s="14" t="str">
        <f t="shared" si="2"/>
        <v/>
      </c>
    </row>
    <row r="144" spans="1:17" s="14" customFormat="1" hidden="1" x14ac:dyDescent="0.25">
      <c r="A144" s="14" t="s">
        <v>33</v>
      </c>
      <c r="B144" s="17">
        <v>-76.346513999999999</v>
      </c>
      <c r="C144" s="17">
        <v>42.833222999999997</v>
      </c>
      <c r="D144" s="14">
        <v>1</v>
      </c>
      <c r="E144" s="14" t="s">
        <v>362</v>
      </c>
      <c r="F144" s="14" t="s">
        <v>359</v>
      </c>
      <c r="G144" s="14">
        <v>401</v>
      </c>
      <c r="H144" s="14">
        <v>98</v>
      </c>
      <c r="I144" s="14">
        <v>1</v>
      </c>
      <c r="J144" s="14" t="s">
        <v>357</v>
      </c>
      <c r="K144" s="14" t="s">
        <v>355</v>
      </c>
      <c r="P144" s="14">
        <v>6</v>
      </c>
      <c r="Q144" s="14" t="str">
        <f t="shared" si="2"/>
        <v>Y</v>
      </c>
    </row>
    <row r="145" spans="1:17" s="14" customFormat="1" hidden="1" x14ac:dyDescent="0.25">
      <c r="A145" s="14" t="s">
        <v>34</v>
      </c>
      <c r="B145" s="17">
        <v>-76.327081000000007</v>
      </c>
      <c r="C145" s="17">
        <v>42.834552000000002</v>
      </c>
      <c r="D145" s="14">
        <v>2</v>
      </c>
      <c r="E145" s="14" t="s">
        <v>362</v>
      </c>
      <c r="F145" s="14" t="s">
        <v>359</v>
      </c>
      <c r="G145" s="14">
        <v>164</v>
      </c>
      <c r="H145" s="14">
        <v>31</v>
      </c>
      <c r="I145" s="14">
        <v>0</v>
      </c>
      <c r="J145" s="14" t="s">
        <v>352</v>
      </c>
      <c r="K145" s="14" t="s">
        <v>356</v>
      </c>
      <c r="P145" s="14">
        <v>13</v>
      </c>
      <c r="Q145" s="14" t="str">
        <f t="shared" si="2"/>
        <v>Y</v>
      </c>
    </row>
    <row r="146" spans="1:17" s="14" customFormat="1" hidden="1" x14ac:dyDescent="0.25">
      <c r="A146" s="14" t="s">
        <v>35</v>
      </c>
      <c r="B146" s="17">
        <v>-76.327117000000001</v>
      </c>
      <c r="C146" s="17">
        <v>42.834400000000002</v>
      </c>
      <c r="D146" s="14">
        <v>3</v>
      </c>
      <c r="E146" s="14" t="s">
        <v>362</v>
      </c>
      <c r="F146" s="14" t="s">
        <v>359</v>
      </c>
      <c r="G146" s="14">
        <v>92</v>
      </c>
      <c r="H146" s="14">
        <v>22</v>
      </c>
      <c r="I146" s="14">
        <v>0</v>
      </c>
      <c r="J146" s="14" t="s">
        <v>352</v>
      </c>
      <c r="K146" s="14" t="s">
        <v>354</v>
      </c>
      <c r="P146" s="14">
        <v>34</v>
      </c>
      <c r="Q146" s="14" t="str">
        <f t="shared" si="2"/>
        <v>Y</v>
      </c>
    </row>
    <row r="147" spans="1:17" s="14" customFormat="1" hidden="1" x14ac:dyDescent="0.25">
      <c r="A147" s="14" t="s">
        <v>36</v>
      </c>
      <c r="B147" s="17">
        <v>-76.346324999999993</v>
      </c>
      <c r="C147" s="17">
        <v>42.833342000000002</v>
      </c>
      <c r="D147" s="14">
        <v>3</v>
      </c>
      <c r="E147" s="14" t="s">
        <v>362</v>
      </c>
      <c r="F147" s="14" t="s">
        <v>359</v>
      </c>
      <c r="G147" s="14">
        <v>161</v>
      </c>
      <c r="H147" s="14">
        <v>0</v>
      </c>
      <c r="I147" s="14">
        <v>0</v>
      </c>
      <c r="J147" s="14" t="s">
        <v>352</v>
      </c>
      <c r="K147" s="14" t="s">
        <v>356</v>
      </c>
      <c r="P147" s="14">
        <v>74</v>
      </c>
      <c r="Q147" s="14" t="str">
        <f t="shared" si="2"/>
        <v>Y</v>
      </c>
    </row>
    <row r="148" spans="1:17" s="14" customFormat="1" hidden="1" x14ac:dyDescent="0.25">
      <c r="A148" s="14" t="s">
        <v>37</v>
      </c>
      <c r="B148" s="17">
        <v>-76.327423999999993</v>
      </c>
      <c r="C148" s="17">
        <v>42.834266999999997</v>
      </c>
      <c r="D148" s="14">
        <v>5</v>
      </c>
      <c r="E148" s="14" t="s">
        <v>362</v>
      </c>
      <c r="F148" s="14" t="s">
        <v>359</v>
      </c>
      <c r="G148" s="14">
        <v>727</v>
      </c>
      <c r="H148" s="14">
        <v>258</v>
      </c>
      <c r="I148" s="14">
        <v>1</v>
      </c>
      <c r="J148" s="14" t="s">
        <v>352</v>
      </c>
      <c r="K148" s="14" t="s">
        <v>354</v>
      </c>
      <c r="P148" s="14">
        <v>586</v>
      </c>
      <c r="Q148" s="14" t="str">
        <f t="shared" si="2"/>
        <v>Y</v>
      </c>
    </row>
    <row r="149" spans="1:17" s="14" customFormat="1" hidden="1" x14ac:dyDescent="0.25">
      <c r="A149" s="14" t="s">
        <v>38</v>
      </c>
      <c r="B149" s="17">
        <v>-76.346406000000002</v>
      </c>
      <c r="C149" s="17">
        <v>42.833480999999999</v>
      </c>
      <c r="D149" s="14">
        <v>5</v>
      </c>
      <c r="E149" s="14" t="s">
        <v>362</v>
      </c>
      <c r="F149" s="14" t="s">
        <v>359</v>
      </c>
      <c r="G149" s="14">
        <v>177</v>
      </c>
      <c r="H149" s="14">
        <v>137</v>
      </c>
      <c r="I149" s="14">
        <v>0</v>
      </c>
      <c r="J149" s="14" t="s">
        <v>352</v>
      </c>
      <c r="K149" s="14" t="s">
        <v>354</v>
      </c>
      <c r="P149" s="14">
        <v>106</v>
      </c>
      <c r="Q149" s="14" t="str">
        <f t="shared" si="2"/>
        <v>Y</v>
      </c>
    </row>
    <row r="150" spans="1:17" s="14" customFormat="1" hidden="1" x14ac:dyDescent="0.25">
      <c r="A150" s="14" t="s">
        <v>39</v>
      </c>
      <c r="B150" s="17">
        <v>-76.327460000000002</v>
      </c>
      <c r="C150" s="17">
        <v>42.834234000000002</v>
      </c>
      <c r="D150" s="14">
        <v>8</v>
      </c>
      <c r="E150" s="14" t="s">
        <v>362</v>
      </c>
      <c r="F150" s="14" t="s">
        <v>359</v>
      </c>
      <c r="G150" s="14">
        <v>1004</v>
      </c>
      <c r="H150" s="14">
        <v>619</v>
      </c>
      <c r="I150" s="14">
        <v>2</v>
      </c>
      <c r="J150" s="14" t="s">
        <v>352</v>
      </c>
      <c r="K150" s="14" t="s">
        <v>355</v>
      </c>
      <c r="P150" s="14">
        <v>489</v>
      </c>
      <c r="Q150" s="14" t="str">
        <f t="shared" si="2"/>
        <v>Y</v>
      </c>
    </row>
    <row r="151" spans="1:17" s="14" customFormat="1" hidden="1" x14ac:dyDescent="0.25">
      <c r="A151" s="14" t="s">
        <v>40</v>
      </c>
      <c r="B151" s="17">
        <v>-76.346215999999998</v>
      </c>
      <c r="C151" s="17">
        <v>42.833553000000002</v>
      </c>
      <c r="D151" s="14">
        <v>8</v>
      </c>
      <c r="E151" s="14" t="s">
        <v>362</v>
      </c>
      <c r="F151" s="14" t="s">
        <v>359</v>
      </c>
      <c r="G151" s="14">
        <v>259</v>
      </c>
      <c r="H151" s="14">
        <v>0</v>
      </c>
      <c r="I151" s="14">
        <v>0</v>
      </c>
      <c r="J151" s="14" t="s">
        <v>352</v>
      </c>
      <c r="K151" s="14" t="s">
        <v>356</v>
      </c>
      <c r="P151" s="14">
        <v>218</v>
      </c>
      <c r="Q151" s="14" t="str">
        <f t="shared" si="2"/>
        <v>Y</v>
      </c>
    </row>
    <row r="152" spans="1:17" s="14" customFormat="1" hidden="1" x14ac:dyDescent="0.25">
      <c r="A152" s="14" t="s">
        <v>41</v>
      </c>
      <c r="B152" s="17">
        <v>-76.327577000000005</v>
      </c>
      <c r="C152" s="17">
        <v>42.834254000000001</v>
      </c>
      <c r="D152" s="14">
        <v>11</v>
      </c>
      <c r="E152" s="14" t="s">
        <v>362</v>
      </c>
      <c r="F152" s="14" t="s">
        <v>359</v>
      </c>
      <c r="G152" s="14">
        <v>1026</v>
      </c>
      <c r="H152" s="14">
        <v>483</v>
      </c>
      <c r="I152" s="14">
        <v>2</v>
      </c>
      <c r="J152" s="14" t="s">
        <v>352</v>
      </c>
      <c r="K152" s="14" t="s">
        <v>355</v>
      </c>
      <c r="P152" s="14">
        <v>401</v>
      </c>
      <c r="Q152" s="14" t="str">
        <f t="shared" si="2"/>
        <v>Y</v>
      </c>
    </row>
    <row r="153" spans="1:17" s="14" customFormat="1" hidden="1" x14ac:dyDescent="0.25">
      <c r="A153" s="14" t="s">
        <v>42</v>
      </c>
      <c r="B153" s="17">
        <v>-76.346108000000001</v>
      </c>
      <c r="C153" s="17">
        <v>42.833632999999999</v>
      </c>
      <c r="D153" s="14">
        <v>11</v>
      </c>
      <c r="E153" s="14" t="s">
        <v>362</v>
      </c>
      <c r="F153" s="14" t="s">
        <v>359</v>
      </c>
      <c r="G153" s="14">
        <v>591</v>
      </c>
      <c r="H153" s="14">
        <v>385</v>
      </c>
      <c r="I153" s="14">
        <v>2</v>
      </c>
      <c r="J153" s="14" t="s">
        <v>352</v>
      </c>
      <c r="K153" s="14" t="s">
        <v>355</v>
      </c>
      <c r="P153" s="14">
        <v>241</v>
      </c>
      <c r="Q153" s="14" t="str">
        <f t="shared" si="2"/>
        <v>Y</v>
      </c>
    </row>
    <row r="154" spans="1:17" s="14" customFormat="1" hidden="1" x14ac:dyDescent="0.25">
      <c r="A154" s="14" t="s">
        <v>43</v>
      </c>
      <c r="B154" s="17">
        <v>-76.327630999999997</v>
      </c>
      <c r="C154" s="17">
        <v>42.834147999999999</v>
      </c>
      <c r="D154" s="14">
        <v>14</v>
      </c>
      <c r="E154" s="14" t="s">
        <v>362</v>
      </c>
      <c r="F154" s="14" t="s">
        <v>359</v>
      </c>
      <c r="G154" s="14">
        <v>602</v>
      </c>
      <c r="H154" s="14">
        <v>427</v>
      </c>
      <c r="I154" s="14">
        <v>2</v>
      </c>
      <c r="J154" s="14" t="s">
        <v>352</v>
      </c>
      <c r="K154" s="14" t="s">
        <v>355</v>
      </c>
      <c r="P154" s="14">
        <v>377</v>
      </c>
      <c r="Q154" s="14" t="str">
        <f t="shared" si="2"/>
        <v>Y</v>
      </c>
    </row>
    <row r="155" spans="1:17" s="14" customFormat="1" x14ac:dyDescent="0.25">
      <c r="A155" s="14" t="s">
        <v>44</v>
      </c>
      <c r="B155" s="17">
        <v>-76.346198000000001</v>
      </c>
      <c r="C155" s="17">
        <v>42.833731999999998</v>
      </c>
      <c r="D155" s="14">
        <v>14</v>
      </c>
      <c r="E155" s="14" t="s">
        <v>362</v>
      </c>
      <c r="F155" s="14" t="s">
        <v>359</v>
      </c>
      <c r="G155" s="14">
        <v>390</v>
      </c>
      <c r="H155" s="14">
        <v>296</v>
      </c>
      <c r="I155" s="14">
        <v>1</v>
      </c>
      <c r="J155" s="14" t="s">
        <v>352</v>
      </c>
      <c r="K155" s="14" t="s">
        <v>355</v>
      </c>
      <c r="L155" s="14">
        <v>150</v>
      </c>
      <c r="M155" s="14">
        <v>0</v>
      </c>
      <c r="N155" s="14" t="s">
        <v>352</v>
      </c>
      <c r="O155" s="14" t="s">
        <v>355</v>
      </c>
      <c r="P155" s="14">
        <v>233</v>
      </c>
      <c r="Q155" s="14" t="str">
        <f t="shared" si="2"/>
        <v>Y</v>
      </c>
    </row>
    <row r="156" spans="1:17" s="14" customFormat="1" hidden="1" x14ac:dyDescent="0.25">
      <c r="A156" s="14" t="s">
        <v>45</v>
      </c>
      <c r="B156" s="17">
        <v>-76.327675999999997</v>
      </c>
      <c r="C156" s="17">
        <v>42.834076000000003</v>
      </c>
      <c r="D156" s="14">
        <v>17</v>
      </c>
      <c r="E156" s="14" t="s">
        <v>362</v>
      </c>
      <c r="F156" s="14" t="s">
        <v>359</v>
      </c>
      <c r="G156" s="14">
        <v>1066</v>
      </c>
      <c r="H156" s="14">
        <v>507</v>
      </c>
      <c r="I156" s="14">
        <v>1</v>
      </c>
      <c r="J156" s="14" t="s">
        <v>352</v>
      </c>
      <c r="K156" s="14" t="s">
        <v>355</v>
      </c>
      <c r="P156" s="14">
        <v>69</v>
      </c>
      <c r="Q156" s="14" t="str">
        <f t="shared" si="2"/>
        <v>Y</v>
      </c>
    </row>
    <row r="157" spans="1:17" s="14" customFormat="1" hidden="1" x14ac:dyDescent="0.25">
      <c r="A157" s="14" t="s">
        <v>46</v>
      </c>
      <c r="B157" s="17">
        <v>-76.346090000000004</v>
      </c>
      <c r="C157" s="17">
        <v>42.833731999999998</v>
      </c>
      <c r="D157" s="14">
        <v>17</v>
      </c>
      <c r="E157" s="14" t="s">
        <v>362</v>
      </c>
      <c r="F157" s="14" t="s">
        <v>359</v>
      </c>
      <c r="G157" s="14">
        <v>483</v>
      </c>
      <c r="H157" s="14">
        <v>359</v>
      </c>
      <c r="I157" s="14">
        <v>1</v>
      </c>
      <c r="J157" s="14" t="s">
        <v>352</v>
      </c>
      <c r="K157" s="14" t="s">
        <v>355</v>
      </c>
      <c r="P157" s="14">
        <v>178</v>
      </c>
      <c r="Q157" s="14" t="str">
        <f t="shared" si="2"/>
        <v>Y</v>
      </c>
    </row>
    <row r="158" spans="1:17" s="14" customFormat="1" x14ac:dyDescent="0.25">
      <c r="A158" s="14" t="s">
        <v>154</v>
      </c>
      <c r="B158" s="17">
        <v>-76.327757000000005</v>
      </c>
      <c r="C158" s="17">
        <v>42.833739000000001</v>
      </c>
      <c r="D158" s="14">
        <v>24</v>
      </c>
      <c r="E158" s="14" t="s">
        <v>362</v>
      </c>
      <c r="F158" s="14" t="s">
        <v>359</v>
      </c>
      <c r="L158" s="14">
        <v>85</v>
      </c>
      <c r="M158" s="14">
        <v>2</v>
      </c>
      <c r="N158" s="14" t="s">
        <v>352</v>
      </c>
      <c r="O158" s="14" t="s">
        <v>355</v>
      </c>
      <c r="P158" s="14">
        <v>246</v>
      </c>
      <c r="Q158" s="14" t="str">
        <f t="shared" si="2"/>
        <v>Y</v>
      </c>
    </row>
    <row r="159" spans="1:17" s="14" customFormat="1" x14ac:dyDescent="0.25">
      <c r="A159" s="14" t="s">
        <v>279</v>
      </c>
      <c r="B159" s="17">
        <v>-76.327757000000005</v>
      </c>
      <c r="C159" s="17">
        <v>42.833739000000001</v>
      </c>
      <c r="D159" s="14">
        <v>24</v>
      </c>
      <c r="E159" s="14" t="s">
        <v>362</v>
      </c>
      <c r="F159" s="14" t="s">
        <v>360</v>
      </c>
      <c r="L159" s="14">
        <v>63</v>
      </c>
      <c r="M159" s="14">
        <v>2</v>
      </c>
      <c r="N159" s="14" t="s">
        <v>352</v>
      </c>
      <c r="O159" s="14" t="s">
        <v>355</v>
      </c>
      <c r="Q159" s="14" t="str">
        <f t="shared" si="2"/>
        <v>Y</v>
      </c>
    </row>
    <row r="160" spans="1:17" s="14" customFormat="1" x14ac:dyDescent="0.25">
      <c r="A160" s="14" t="s">
        <v>155</v>
      </c>
      <c r="B160" s="17">
        <v>-76.345883000000001</v>
      </c>
      <c r="C160" s="17">
        <v>42.834029000000001</v>
      </c>
      <c r="D160" s="14">
        <v>24</v>
      </c>
      <c r="E160" s="14" t="s">
        <v>362</v>
      </c>
      <c r="F160" s="14" t="s">
        <v>359</v>
      </c>
      <c r="L160" s="14">
        <v>169</v>
      </c>
      <c r="M160" s="14">
        <v>2</v>
      </c>
      <c r="N160" s="14" t="s">
        <v>352</v>
      </c>
      <c r="O160" s="14" t="s">
        <v>355</v>
      </c>
      <c r="P160" s="14">
        <v>290</v>
      </c>
      <c r="Q160" s="14" t="str">
        <f t="shared" si="2"/>
        <v>Y</v>
      </c>
    </row>
    <row r="161" spans="1:17" s="14" customFormat="1" x14ac:dyDescent="0.25">
      <c r="A161" s="14" t="s">
        <v>280</v>
      </c>
      <c r="B161" s="17">
        <v>-76.345883000000001</v>
      </c>
      <c r="C161" s="17">
        <v>42.834029000000001</v>
      </c>
      <c r="D161" s="14">
        <v>24</v>
      </c>
      <c r="E161" s="14" t="s">
        <v>362</v>
      </c>
      <c r="F161" s="14" t="s">
        <v>360</v>
      </c>
      <c r="L161" s="14">
        <v>150</v>
      </c>
      <c r="M161" s="14">
        <v>2</v>
      </c>
      <c r="N161" s="14" t="s">
        <v>352</v>
      </c>
      <c r="O161" s="14" t="s">
        <v>355</v>
      </c>
      <c r="Q161" s="14" t="str">
        <f t="shared" si="2"/>
        <v>Y</v>
      </c>
    </row>
    <row r="162" spans="1:17" s="14" customFormat="1" x14ac:dyDescent="0.25">
      <c r="A162" s="14" t="s">
        <v>156</v>
      </c>
      <c r="B162" s="17">
        <v>-76.327793</v>
      </c>
      <c r="C162" s="17">
        <v>42.833593</v>
      </c>
      <c r="D162" s="14">
        <v>31</v>
      </c>
      <c r="E162" s="14" t="s">
        <v>362</v>
      </c>
      <c r="F162" s="14" t="s">
        <v>359</v>
      </c>
      <c r="L162" s="14">
        <v>332</v>
      </c>
      <c r="M162" s="14">
        <v>1</v>
      </c>
      <c r="N162" s="14" t="s">
        <v>352</v>
      </c>
      <c r="O162" s="14" t="s">
        <v>355</v>
      </c>
      <c r="P162" s="14">
        <v>206</v>
      </c>
      <c r="Q162" s="14" t="str">
        <f t="shared" si="2"/>
        <v>Y</v>
      </c>
    </row>
    <row r="163" spans="1:17" s="14" customFormat="1" x14ac:dyDescent="0.25">
      <c r="A163" s="14" t="s">
        <v>281</v>
      </c>
      <c r="B163" s="17">
        <v>-76.327793</v>
      </c>
      <c r="C163" s="17">
        <v>42.833593</v>
      </c>
      <c r="D163" s="14">
        <v>31</v>
      </c>
      <c r="E163" s="14" t="s">
        <v>362</v>
      </c>
      <c r="F163" s="14" t="s">
        <v>360</v>
      </c>
      <c r="L163" s="14">
        <v>395</v>
      </c>
      <c r="M163" s="14">
        <v>2</v>
      </c>
      <c r="N163" s="14" t="s">
        <v>352</v>
      </c>
      <c r="O163" s="14" t="s">
        <v>355</v>
      </c>
      <c r="Q163" s="14" t="str">
        <f t="shared" si="2"/>
        <v>Y</v>
      </c>
    </row>
    <row r="164" spans="1:17" s="14" customFormat="1" x14ac:dyDescent="0.25">
      <c r="A164" s="14" t="s">
        <v>157</v>
      </c>
      <c r="B164" s="17">
        <v>-76.345828999999995</v>
      </c>
      <c r="C164" s="17">
        <v>42.834248000000002</v>
      </c>
      <c r="D164" s="14">
        <v>31</v>
      </c>
      <c r="E164" s="14" t="s">
        <v>362</v>
      </c>
      <c r="F164" s="14" t="s">
        <v>359</v>
      </c>
      <c r="L164" s="14">
        <v>86</v>
      </c>
      <c r="M164" s="14">
        <v>2</v>
      </c>
      <c r="N164" s="14" t="s">
        <v>352</v>
      </c>
      <c r="O164" s="14" t="s">
        <v>355</v>
      </c>
      <c r="P164" s="14">
        <v>108</v>
      </c>
      <c r="Q164" s="14" t="str">
        <f t="shared" si="2"/>
        <v>Y</v>
      </c>
    </row>
    <row r="165" spans="1:17" s="14" customFormat="1" x14ac:dyDescent="0.25">
      <c r="A165" s="14" t="s">
        <v>282</v>
      </c>
      <c r="B165" s="17">
        <v>-76.345828999999995</v>
      </c>
      <c r="C165" s="17">
        <v>42.834248000000002</v>
      </c>
      <c r="D165" s="14">
        <v>31</v>
      </c>
      <c r="E165" s="14" t="s">
        <v>362</v>
      </c>
      <c r="F165" s="14" t="s">
        <v>360</v>
      </c>
      <c r="L165" s="14">
        <v>223</v>
      </c>
      <c r="M165" s="14">
        <v>2</v>
      </c>
      <c r="N165" s="14" t="s">
        <v>352</v>
      </c>
      <c r="O165" s="14" t="s">
        <v>355</v>
      </c>
      <c r="Q165" s="14" t="str">
        <f t="shared" si="2"/>
        <v>Y</v>
      </c>
    </row>
    <row r="166" spans="1:17" s="14" customFormat="1" x14ac:dyDescent="0.25">
      <c r="A166" s="14" t="s">
        <v>158</v>
      </c>
      <c r="B166" s="17">
        <v>-76.327748</v>
      </c>
      <c r="C166" s="17">
        <v>42.833316000000003</v>
      </c>
      <c r="D166" s="14">
        <v>40</v>
      </c>
      <c r="E166" s="14" t="s">
        <v>362</v>
      </c>
      <c r="F166" s="14" t="s">
        <v>359</v>
      </c>
      <c r="L166" s="14">
        <v>429</v>
      </c>
      <c r="M166" s="14">
        <v>2</v>
      </c>
      <c r="N166" s="14" t="s">
        <v>352</v>
      </c>
      <c r="O166" s="14" t="s">
        <v>355</v>
      </c>
      <c r="P166" s="14">
        <v>333</v>
      </c>
      <c r="Q166" s="14" t="str">
        <f t="shared" si="2"/>
        <v>Y</v>
      </c>
    </row>
    <row r="167" spans="1:17" s="14" customFormat="1" x14ac:dyDescent="0.25">
      <c r="A167" s="14" t="s">
        <v>283</v>
      </c>
      <c r="B167" s="17">
        <v>-76.327748</v>
      </c>
      <c r="C167" s="17">
        <v>42.833316000000003</v>
      </c>
      <c r="D167" s="14">
        <v>40</v>
      </c>
      <c r="E167" s="14" t="s">
        <v>362</v>
      </c>
      <c r="F167" s="14" t="s">
        <v>360</v>
      </c>
      <c r="L167" s="14">
        <v>288</v>
      </c>
      <c r="M167" s="14">
        <v>2</v>
      </c>
      <c r="N167" s="14" t="s">
        <v>352</v>
      </c>
      <c r="O167" s="14" t="s">
        <v>355</v>
      </c>
      <c r="Q167" s="14" t="str">
        <f t="shared" si="2"/>
        <v>Y</v>
      </c>
    </row>
    <row r="168" spans="1:17" s="14" customFormat="1" x14ac:dyDescent="0.25">
      <c r="A168" s="14" t="s">
        <v>245</v>
      </c>
      <c r="B168" s="17">
        <v>-76.345820000000003</v>
      </c>
      <c r="C168" s="17">
        <v>42.834347000000001</v>
      </c>
      <c r="D168" s="14">
        <v>40</v>
      </c>
      <c r="E168" s="14" t="s">
        <v>362</v>
      </c>
      <c r="F168" s="14" t="s">
        <v>359</v>
      </c>
      <c r="L168" s="14">
        <v>292</v>
      </c>
      <c r="M168" s="14">
        <v>2</v>
      </c>
      <c r="N168" s="14" t="s">
        <v>352</v>
      </c>
      <c r="O168" s="14" t="s">
        <v>355</v>
      </c>
      <c r="P168" s="14">
        <v>0</v>
      </c>
      <c r="Q168" s="14" t="str">
        <f t="shared" si="2"/>
        <v>Y</v>
      </c>
    </row>
    <row r="169" spans="1:17" s="14" customFormat="1" x14ac:dyDescent="0.25">
      <c r="A169" s="14" t="s">
        <v>284</v>
      </c>
      <c r="B169" s="17">
        <v>-76.345820000000003</v>
      </c>
      <c r="C169" s="17">
        <v>42.834347000000001</v>
      </c>
      <c r="D169" s="14">
        <v>40</v>
      </c>
      <c r="E169" s="14" t="s">
        <v>362</v>
      </c>
      <c r="F169" s="14" t="s">
        <v>360</v>
      </c>
      <c r="L169" s="14">
        <v>160</v>
      </c>
      <c r="M169" s="14">
        <v>2</v>
      </c>
      <c r="N169" s="14" t="s">
        <v>352</v>
      </c>
      <c r="O169" s="14" t="s">
        <v>355</v>
      </c>
      <c r="Q169" s="14" t="str">
        <f t="shared" si="2"/>
        <v>Y</v>
      </c>
    </row>
    <row r="170" spans="1:17" s="14" customFormat="1" x14ac:dyDescent="0.25">
      <c r="A170" s="14" t="s">
        <v>159</v>
      </c>
      <c r="B170" s="17">
        <v>-76.327577000000005</v>
      </c>
      <c r="C170" s="17">
        <v>42.833117000000001</v>
      </c>
      <c r="D170" s="14">
        <v>45</v>
      </c>
      <c r="E170" s="14" t="s">
        <v>362</v>
      </c>
      <c r="F170" s="14" t="s">
        <v>359</v>
      </c>
      <c r="L170" s="14">
        <v>254</v>
      </c>
      <c r="M170" s="14">
        <v>1</v>
      </c>
      <c r="N170" s="14" t="s">
        <v>352</v>
      </c>
      <c r="O170" s="14" t="s">
        <v>355</v>
      </c>
      <c r="P170" s="14">
        <v>91</v>
      </c>
      <c r="Q170" s="14" t="str">
        <f t="shared" si="2"/>
        <v>Y</v>
      </c>
    </row>
    <row r="171" spans="1:17" s="14" customFormat="1" x14ac:dyDescent="0.25">
      <c r="A171" s="14" t="s">
        <v>285</v>
      </c>
      <c r="B171" s="17">
        <v>-76.327577000000005</v>
      </c>
      <c r="C171" s="17">
        <v>42.833117000000001</v>
      </c>
      <c r="D171" s="14">
        <v>45</v>
      </c>
      <c r="E171" s="14" t="s">
        <v>362</v>
      </c>
      <c r="F171" s="14" t="s">
        <v>360</v>
      </c>
      <c r="L171" s="14">
        <v>213</v>
      </c>
      <c r="M171" s="14">
        <v>2</v>
      </c>
      <c r="N171" s="14" t="s">
        <v>352</v>
      </c>
      <c r="O171" s="14" t="s">
        <v>355</v>
      </c>
      <c r="Q171" s="14" t="str">
        <f t="shared" si="2"/>
        <v>Y</v>
      </c>
    </row>
    <row r="172" spans="1:17" s="14" customFormat="1" x14ac:dyDescent="0.25">
      <c r="A172" s="14" t="s">
        <v>160</v>
      </c>
      <c r="B172" s="17">
        <v>-76.345738999999995</v>
      </c>
      <c r="C172" s="17">
        <v>42.834465999999999</v>
      </c>
      <c r="D172" s="14">
        <v>45</v>
      </c>
      <c r="E172" s="14" t="s">
        <v>362</v>
      </c>
      <c r="F172" s="14" t="s">
        <v>359</v>
      </c>
      <c r="L172" s="14">
        <v>60</v>
      </c>
      <c r="M172" s="14">
        <v>2</v>
      </c>
      <c r="N172" s="14" t="s">
        <v>352</v>
      </c>
      <c r="O172" s="14" t="s">
        <v>355</v>
      </c>
      <c r="P172" s="14">
        <v>3</v>
      </c>
      <c r="Q172" s="14" t="str">
        <f t="shared" si="2"/>
        <v>Y</v>
      </c>
    </row>
    <row r="173" spans="1:17" s="14" customFormat="1" x14ac:dyDescent="0.25">
      <c r="A173" s="14" t="s">
        <v>286</v>
      </c>
      <c r="B173" s="17">
        <v>-76.345738999999995</v>
      </c>
      <c r="C173" s="17">
        <v>42.834465999999999</v>
      </c>
      <c r="D173" s="14">
        <v>45</v>
      </c>
      <c r="E173" s="14" t="s">
        <v>362</v>
      </c>
      <c r="F173" s="14" t="s">
        <v>360</v>
      </c>
      <c r="L173" s="14">
        <v>94</v>
      </c>
      <c r="M173" s="14">
        <v>1</v>
      </c>
      <c r="N173" s="14" t="s">
        <v>352</v>
      </c>
      <c r="O173" s="14" t="s">
        <v>355</v>
      </c>
      <c r="Q173" s="14" t="str">
        <f t="shared" si="2"/>
        <v>Y</v>
      </c>
    </row>
    <row r="174" spans="1:17" s="14" customFormat="1" x14ac:dyDescent="0.25">
      <c r="A174" s="14" t="s">
        <v>161</v>
      </c>
      <c r="B174" s="17">
        <v>-76.327667000000005</v>
      </c>
      <c r="C174" s="17">
        <v>42.833018000000003</v>
      </c>
      <c r="D174" s="14">
        <v>52</v>
      </c>
      <c r="E174" s="14" t="s">
        <v>362</v>
      </c>
      <c r="F174" s="14" t="s">
        <v>359</v>
      </c>
      <c r="L174" s="14">
        <v>140</v>
      </c>
      <c r="M174" s="14">
        <v>1</v>
      </c>
      <c r="N174" s="14" t="s">
        <v>352</v>
      </c>
      <c r="O174" s="14" t="s">
        <v>355</v>
      </c>
      <c r="P174" s="14">
        <v>134</v>
      </c>
      <c r="Q174" s="14" t="str">
        <f t="shared" si="2"/>
        <v>Y</v>
      </c>
    </row>
    <row r="175" spans="1:17" s="14" customFormat="1" x14ac:dyDescent="0.25">
      <c r="A175" s="14" t="s">
        <v>287</v>
      </c>
      <c r="B175" s="17">
        <v>-76.327667000000005</v>
      </c>
      <c r="C175" s="17">
        <v>42.833018000000003</v>
      </c>
      <c r="D175" s="14">
        <v>52</v>
      </c>
      <c r="E175" s="14" t="s">
        <v>362</v>
      </c>
      <c r="F175" s="14" t="s">
        <v>360</v>
      </c>
      <c r="L175" s="14">
        <v>163</v>
      </c>
      <c r="M175" s="14">
        <v>2</v>
      </c>
      <c r="N175" s="14" t="s">
        <v>352</v>
      </c>
      <c r="O175" s="14" t="s">
        <v>355</v>
      </c>
      <c r="Q175" s="14" t="str">
        <f t="shared" si="2"/>
        <v>Y</v>
      </c>
    </row>
    <row r="176" spans="1:17" s="14" customFormat="1" x14ac:dyDescent="0.25">
      <c r="A176" s="14" t="s">
        <v>162</v>
      </c>
      <c r="B176" s="17">
        <v>-76.345568</v>
      </c>
      <c r="C176" s="17">
        <v>42.834631000000002</v>
      </c>
      <c r="D176" s="14">
        <v>54</v>
      </c>
      <c r="E176" s="14" t="s">
        <v>362</v>
      </c>
      <c r="F176" s="14" t="s">
        <v>359</v>
      </c>
      <c r="L176" s="14">
        <v>144</v>
      </c>
      <c r="M176" s="14">
        <v>2</v>
      </c>
      <c r="N176" s="14" t="s">
        <v>352</v>
      </c>
      <c r="O176" s="14" t="s">
        <v>355</v>
      </c>
      <c r="P176" s="14">
        <v>28</v>
      </c>
      <c r="Q176" s="14" t="str">
        <f t="shared" si="2"/>
        <v>Y</v>
      </c>
    </row>
    <row r="177" spans="1:17" s="14" customFormat="1" x14ac:dyDescent="0.25">
      <c r="A177" s="14" t="s">
        <v>288</v>
      </c>
      <c r="B177" s="17">
        <v>-76.345568</v>
      </c>
      <c r="C177" s="17">
        <v>42.834631000000002</v>
      </c>
      <c r="D177" s="14">
        <v>54</v>
      </c>
      <c r="E177" s="14" t="s">
        <v>362</v>
      </c>
      <c r="F177" s="14" t="s">
        <v>360</v>
      </c>
      <c r="L177" s="14">
        <v>97</v>
      </c>
      <c r="M177" s="14">
        <v>2</v>
      </c>
      <c r="N177" s="14" t="s">
        <v>352</v>
      </c>
      <c r="O177" s="14" t="s">
        <v>355</v>
      </c>
      <c r="Q177" s="14" t="str">
        <f t="shared" si="2"/>
        <v>Y</v>
      </c>
    </row>
    <row r="178" spans="1:17" s="14" customFormat="1" hidden="1" x14ac:dyDescent="0.25">
      <c r="A178" s="14" t="s">
        <v>163</v>
      </c>
      <c r="B178" s="17">
        <v>-76.327703</v>
      </c>
      <c r="C178" s="17">
        <v>42.832912</v>
      </c>
      <c r="D178" s="14">
        <v>55</v>
      </c>
      <c r="E178" s="14" t="s">
        <v>362</v>
      </c>
      <c r="F178" s="14" t="s">
        <v>359</v>
      </c>
      <c r="P178" s="14">
        <v>43</v>
      </c>
      <c r="Q178" s="14" t="str">
        <f t="shared" si="2"/>
        <v/>
      </c>
    </row>
    <row r="179" spans="1:17" s="14" customFormat="1" hidden="1" x14ac:dyDescent="0.25">
      <c r="A179" s="14" t="s">
        <v>164</v>
      </c>
      <c r="B179" s="17">
        <v>-76.329965000000001</v>
      </c>
      <c r="C179" s="17">
        <v>42.834690000000002</v>
      </c>
      <c r="D179" s="14">
        <v>61</v>
      </c>
      <c r="E179" s="14" t="s">
        <v>362</v>
      </c>
      <c r="F179" s="14" t="s">
        <v>359</v>
      </c>
      <c r="P179" s="14">
        <v>825</v>
      </c>
      <c r="Q179" s="14" t="str">
        <f t="shared" si="2"/>
        <v/>
      </c>
    </row>
    <row r="180" spans="1:17" s="14" customFormat="1" hidden="1" x14ac:dyDescent="0.25">
      <c r="A180" s="14" t="s">
        <v>165</v>
      </c>
      <c r="B180" s="17">
        <v>-76.329965000000001</v>
      </c>
      <c r="C180" s="17">
        <v>42.834690000000002</v>
      </c>
      <c r="D180" s="14">
        <v>61</v>
      </c>
      <c r="E180" s="14" t="s">
        <v>362</v>
      </c>
      <c r="F180" s="14" t="s">
        <v>360</v>
      </c>
      <c r="P180" s="14">
        <v>74</v>
      </c>
      <c r="Q180" s="14" t="str">
        <f t="shared" si="2"/>
        <v/>
      </c>
    </row>
    <row r="181" spans="1:17" s="14" customFormat="1" hidden="1" x14ac:dyDescent="0.25">
      <c r="A181" s="14" t="s">
        <v>166</v>
      </c>
      <c r="B181" s="17">
        <v>-76.345125999999993</v>
      </c>
      <c r="C181" s="17">
        <v>42.834552000000002</v>
      </c>
      <c r="D181" s="14">
        <v>61</v>
      </c>
      <c r="E181" s="14" t="s">
        <v>362</v>
      </c>
      <c r="F181" s="14" t="s">
        <v>359</v>
      </c>
      <c r="P181" s="14">
        <v>71</v>
      </c>
      <c r="Q181" s="14" t="str">
        <f t="shared" si="2"/>
        <v/>
      </c>
    </row>
    <row r="182" spans="1:17" s="14" customFormat="1" hidden="1" x14ac:dyDescent="0.25">
      <c r="A182" s="14" t="s">
        <v>167</v>
      </c>
      <c r="B182" s="17">
        <v>-76.330443000000002</v>
      </c>
      <c r="C182" s="17">
        <v>42.834743000000003</v>
      </c>
      <c r="D182" s="14">
        <v>70</v>
      </c>
      <c r="E182" s="14" t="s">
        <v>362</v>
      </c>
      <c r="F182" s="14" t="s">
        <v>359</v>
      </c>
      <c r="P182" s="14">
        <v>283</v>
      </c>
      <c r="Q182" s="14" t="str">
        <f t="shared" si="2"/>
        <v/>
      </c>
    </row>
    <row r="183" spans="1:17" s="14" customFormat="1" hidden="1" x14ac:dyDescent="0.25">
      <c r="A183" s="14" t="s">
        <v>168</v>
      </c>
      <c r="B183" s="17">
        <v>-76.344531000000003</v>
      </c>
      <c r="C183" s="17">
        <v>42.834690000000002</v>
      </c>
      <c r="D183" s="14">
        <v>76</v>
      </c>
      <c r="E183" s="14" t="s">
        <v>362</v>
      </c>
      <c r="F183" s="14" t="s">
        <v>359</v>
      </c>
      <c r="P183" s="14">
        <v>104</v>
      </c>
      <c r="Q183" s="14" t="str">
        <f t="shared" si="2"/>
        <v/>
      </c>
    </row>
    <row r="184" spans="1:17" s="14" customFormat="1" hidden="1" x14ac:dyDescent="0.25">
      <c r="A184" s="14" t="s">
        <v>169</v>
      </c>
      <c r="B184" s="17">
        <v>-76.342611000000005</v>
      </c>
      <c r="C184" s="17">
        <v>42.834775999999998</v>
      </c>
      <c r="D184" s="14">
        <v>82</v>
      </c>
      <c r="E184" s="14" t="s">
        <v>362</v>
      </c>
      <c r="F184" s="14" t="s">
        <v>359</v>
      </c>
      <c r="P184" s="14">
        <v>69</v>
      </c>
      <c r="Q184" s="14" t="str">
        <f t="shared" si="2"/>
        <v/>
      </c>
    </row>
    <row r="185" spans="1:17" s="14" customFormat="1" hidden="1" x14ac:dyDescent="0.25">
      <c r="A185" s="14" t="s">
        <v>170</v>
      </c>
      <c r="B185" s="17">
        <v>-76.336535999999995</v>
      </c>
      <c r="C185" s="17">
        <v>42.834591000000003</v>
      </c>
      <c r="D185" s="14">
        <v>84</v>
      </c>
      <c r="E185" s="14" t="s">
        <v>362</v>
      </c>
      <c r="F185" s="14" t="s">
        <v>359</v>
      </c>
      <c r="P185" s="14">
        <v>14</v>
      </c>
      <c r="Q185" s="14" t="str">
        <f t="shared" si="2"/>
        <v/>
      </c>
    </row>
    <row r="186" spans="1:17" s="14" customFormat="1" x14ac:dyDescent="0.25">
      <c r="A186" s="14" t="s">
        <v>171</v>
      </c>
      <c r="B186" s="17">
        <v>-76.309956</v>
      </c>
      <c r="C186" s="17">
        <v>42.808920000000001</v>
      </c>
      <c r="D186" s="14">
        <v>1</v>
      </c>
      <c r="E186" s="14" t="s">
        <v>363</v>
      </c>
      <c r="F186" s="14" t="s">
        <v>359</v>
      </c>
      <c r="L186" s="14">
        <v>73</v>
      </c>
      <c r="M186" s="14">
        <v>1</v>
      </c>
      <c r="N186" s="14" t="s">
        <v>357</v>
      </c>
      <c r="O186" s="14" t="s">
        <v>355</v>
      </c>
      <c r="P186" s="14">
        <v>67</v>
      </c>
      <c r="Q186" s="14" t="str">
        <f t="shared" si="2"/>
        <v>Y</v>
      </c>
    </row>
    <row r="187" spans="1:17" s="14" customFormat="1" x14ac:dyDescent="0.25">
      <c r="A187" s="14" t="s">
        <v>289</v>
      </c>
      <c r="B187" s="17">
        <v>-76.309956</v>
      </c>
      <c r="C187" s="17">
        <v>42.808920000000001</v>
      </c>
      <c r="D187" s="14">
        <v>1</v>
      </c>
      <c r="E187" s="14" t="s">
        <v>363</v>
      </c>
      <c r="F187" s="14" t="s">
        <v>360</v>
      </c>
      <c r="L187" s="14">
        <v>59</v>
      </c>
      <c r="M187" s="14">
        <v>0</v>
      </c>
      <c r="N187" s="14" t="s">
        <v>357</v>
      </c>
      <c r="O187" s="14" t="s">
        <v>355</v>
      </c>
      <c r="Q187" s="14" t="str">
        <f t="shared" si="2"/>
        <v>Y</v>
      </c>
    </row>
    <row r="188" spans="1:17" s="14" customFormat="1" hidden="1" x14ac:dyDescent="0.25">
      <c r="A188" s="14" t="s">
        <v>47</v>
      </c>
      <c r="B188" s="17">
        <v>-76.302087</v>
      </c>
      <c r="C188" s="17">
        <v>42.810057499999999</v>
      </c>
      <c r="D188" s="14">
        <v>2</v>
      </c>
      <c r="E188" s="14" t="s">
        <v>363</v>
      </c>
      <c r="F188" s="14" t="s">
        <v>359</v>
      </c>
      <c r="G188" s="14">
        <v>213</v>
      </c>
      <c r="H188" s="14">
        <v>0</v>
      </c>
      <c r="I188" s="14">
        <v>0</v>
      </c>
      <c r="J188" s="14" t="s">
        <v>352</v>
      </c>
      <c r="K188" s="14" t="s">
        <v>356</v>
      </c>
      <c r="P188" s="14">
        <v>58</v>
      </c>
      <c r="Q188" s="14" t="str">
        <f t="shared" si="2"/>
        <v>Y</v>
      </c>
    </row>
    <row r="189" spans="1:17" s="14" customFormat="1" hidden="1" x14ac:dyDescent="0.25">
      <c r="A189" s="14" t="s">
        <v>48</v>
      </c>
      <c r="B189" s="17">
        <v>-76.309866</v>
      </c>
      <c r="C189" s="17">
        <v>42.809066000000001</v>
      </c>
      <c r="D189" s="14">
        <v>2</v>
      </c>
      <c r="E189" s="14" t="s">
        <v>363</v>
      </c>
      <c r="F189" s="14" t="s">
        <v>359</v>
      </c>
      <c r="G189" s="14">
        <v>96</v>
      </c>
      <c r="H189" s="14">
        <v>0</v>
      </c>
      <c r="I189" s="14">
        <v>0</v>
      </c>
      <c r="J189" s="14" t="s">
        <v>352</v>
      </c>
      <c r="K189" s="14" t="s">
        <v>356</v>
      </c>
      <c r="Q189" s="14" t="str">
        <f t="shared" si="2"/>
        <v>Y</v>
      </c>
    </row>
    <row r="190" spans="1:17" s="14" customFormat="1" hidden="1" x14ac:dyDescent="0.25">
      <c r="A190" s="14" t="s">
        <v>49</v>
      </c>
      <c r="B190" s="17">
        <v>-76.294272000000007</v>
      </c>
      <c r="C190" s="17">
        <v>42.811194999999998</v>
      </c>
      <c r="D190" s="14">
        <v>3</v>
      </c>
      <c r="E190" s="14" t="s">
        <v>363</v>
      </c>
      <c r="F190" s="14" t="s">
        <v>359</v>
      </c>
      <c r="G190" s="14">
        <v>153</v>
      </c>
      <c r="H190" s="14">
        <v>48</v>
      </c>
      <c r="I190" s="14">
        <v>0</v>
      </c>
      <c r="J190" s="14" t="s">
        <v>352</v>
      </c>
      <c r="K190" s="14" t="s">
        <v>356</v>
      </c>
      <c r="P190" s="14">
        <v>57</v>
      </c>
      <c r="Q190" s="14" t="str">
        <f t="shared" si="2"/>
        <v>Y</v>
      </c>
    </row>
    <row r="191" spans="1:17" s="14" customFormat="1" x14ac:dyDescent="0.25">
      <c r="A191" s="14" t="s">
        <v>50</v>
      </c>
      <c r="B191" s="17">
        <v>-76.309730500000001</v>
      </c>
      <c r="C191" s="17">
        <v>42.808940499999999</v>
      </c>
      <c r="D191" s="14">
        <v>3</v>
      </c>
      <c r="E191" s="14" t="s">
        <v>363</v>
      </c>
      <c r="F191" s="14" t="s">
        <v>359</v>
      </c>
      <c r="G191" s="14">
        <v>34</v>
      </c>
      <c r="H191" s="14">
        <v>61</v>
      </c>
      <c r="I191" s="14">
        <v>0</v>
      </c>
      <c r="J191" s="14" t="s">
        <v>352</v>
      </c>
      <c r="K191" s="14" t="s">
        <v>353</v>
      </c>
      <c r="L191" s="14">
        <v>0</v>
      </c>
      <c r="M191" s="14">
        <v>0</v>
      </c>
      <c r="N191" s="14" t="s">
        <v>352</v>
      </c>
      <c r="O191" s="14" t="s">
        <v>356</v>
      </c>
      <c r="P191" s="14">
        <v>115</v>
      </c>
      <c r="Q191" s="14" t="str">
        <f t="shared" si="2"/>
        <v>Y</v>
      </c>
    </row>
    <row r="192" spans="1:17" s="14" customFormat="1" x14ac:dyDescent="0.25">
      <c r="A192" s="14" t="s">
        <v>331</v>
      </c>
      <c r="B192" s="17">
        <v>-76.309730500000001</v>
      </c>
      <c r="C192" s="17">
        <v>42.808940499999999</v>
      </c>
      <c r="D192" s="14">
        <v>3</v>
      </c>
      <c r="E192" s="14" t="s">
        <v>363</v>
      </c>
      <c r="F192" s="14" t="s">
        <v>360</v>
      </c>
      <c r="L192" s="14">
        <v>0</v>
      </c>
      <c r="M192" s="14">
        <v>0</v>
      </c>
      <c r="N192" s="14" t="s">
        <v>352</v>
      </c>
      <c r="O192" s="14" t="s">
        <v>356</v>
      </c>
      <c r="Q192" s="14" t="str">
        <f t="shared" si="2"/>
        <v>Y</v>
      </c>
    </row>
    <row r="193" spans="1:17" s="14" customFormat="1" hidden="1" x14ac:dyDescent="0.25">
      <c r="A193" s="14" t="s">
        <v>51</v>
      </c>
      <c r="B193" s="17">
        <v>-76.294408000000004</v>
      </c>
      <c r="C193" s="17">
        <v>42.811129000000001</v>
      </c>
      <c r="D193" s="14">
        <v>5</v>
      </c>
      <c r="E193" s="14" t="s">
        <v>363</v>
      </c>
      <c r="F193" s="14" t="s">
        <v>359</v>
      </c>
      <c r="G193" s="14">
        <v>40</v>
      </c>
      <c r="H193" s="14">
        <v>6</v>
      </c>
      <c r="I193" s="14">
        <v>0</v>
      </c>
      <c r="J193" s="14" t="s">
        <v>352</v>
      </c>
      <c r="K193" s="14" t="s">
        <v>353</v>
      </c>
      <c r="P193" s="14">
        <v>145</v>
      </c>
      <c r="Q193" s="14" t="str">
        <f t="shared" si="2"/>
        <v>Y</v>
      </c>
    </row>
    <row r="194" spans="1:17" s="14" customFormat="1" x14ac:dyDescent="0.25">
      <c r="A194" s="14" t="s">
        <v>52</v>
      </c>
      <c r="B194" s="17">
        <v>-76.309663999999998</v>
      </c>
      <c r="C194" s="17">
        <v>42.809136333333299</v>
      </c>
      <c r="D194" s="14">
        <v>5</v>
      </c>
      <c r="E194" s="14" t="s">
        <v>363</v>
      </c>
      <c r="F194" s="14" t="s">
        <v>359</v>
      </c>
      <c r="G194" s="14">
        <v>341</v>
      </c>
      <c r="H194" s="14">
        <v>331</v>
      </c>
      <c r="I194" s="14">
        <v>2</v>
      </c>
      <c r="J194" s="14" t="s">
        <v>352</v>
      </c>
      <c r="K194" s="14" t="s">
        <v>355</v>
      </c>
      <c r="L194" s="14">
        <v>0</v>
      </c>
      <c r="M194" s="14">
        <v>0</v>
      </c>
      <c r="N194" s="14" t="s">
        <v>352</v>
      </c>
      <c r="O194" s="14" t="s">
        <v>356</v>
      </c>
      <c r="P194" s="14">
        <v>55</v>
      </c>
      <c r="Q194" s="14" t="str">
        <f t="shared" si="2"/>
        <v>Y</v>
      </c>
    </row>
    <row r="195" spans="1:17" s="14" customFormat="1" x14ac:dyDescent="0.25">
      <c r="A195" s="14" t="s">
        <v>332</v>
      </c>
      <c r="B195" s="17">
        <v>-76.309663999999998</v>
      </c>
      <c r="C195" s="17">
        <v>42.809136333333299</v>
      </c>
      <c r="D195" s="14">
        <v>5</v>
      </c>
      <c r="E195" s="14" t="s">
        <v>363</v>
      </c>
      <c r="F195" s="14" t="s">
        <v>360</v>
      </c>
      <c r="L195" s="14">
        <v>0</v>
      </c>
      <c r="M195" s="14">
        <v>2</v>
      </c>
      <c r="N195" s="14" t="s">
        <v>352</v>
      </c>
      <c r="O195" s="14" t="s">
        <v>356</v>
      </c>
      <c r="Q195" s="14" t="str">
        <f t="shared" ref="Q195:Q258" si="3">IF(OR(M195&lt;&gt;"", I195&lt;&gt;""), "Y", "")</f>
        <v>Y</v>
      </c>
    </row>
    <row r="196" spans="1:17" s="14" customFormat="1" x14ac:dyDescent="0.25">
      <c r="A196" s="14" t="s">
        <v>53</v>
      </c>
      <c r="B196" s="17">
        <v>-76.294479999999993</v>
      </c>
      <c r="C196" s="17">
        <v>42.811017</v>
      </c>
      <c r="D196" s="14">
        <v>8</v>
      </c>
      <c r="E196" s="14" t="s">
        <v>363</v>
      </c>
      <c r="F196" s="14" t="s">
        <v>359</v>
      </c>
      <c r="G196" s="14">
        <v>151</v>
      </c>
      <c r="H196" s="14">
        <v>55</v>
      </c>
      <c r="I196" s="14">
        <v>0</v>
      </c>
      <c r="J196" s="14" t="s">
        <v>352</v>
      </c>
      <c r="K196" s="14" t="s">
        <v>353</v>
      </c>
      <c r="L196" s="14">
        <v>93</v>
      </c>
      <c r="M196" s="14">
        <v>0</v>
      </c>
      <c r="N196" s="14" t="s">
        <v>352</v>
      </c>
      <c r="O196" s="14" t="s">
        <v>354</v>
      </c>
      <c r="P196" s="14">
        <v>540</v>
      </c>
      <c r="Q196" s="14" t="str">
        <f t="shared" si="3"/>
        <v>Y</v>
      </c>
    </row>
    <row r="197" spans="1:17" s="14" customFormat="1" x14ac:dyDescent="0.25">
      <c r="A197" s="14" t="s">
        <v>54</v>
      </c>
      <c r="B197" s="17">
        <v>-76.309595000000002</v>
      </c>
      <c r="C197" s="17">
        <v>42.809291000000002</v>
      </c>
      <c r="D197" s="14">
        <v>8</v>
      </c>
      <c r="E197" s="14" t="s">
        <v>363</v>
      </c>
      <c r="F197" s="14" t="s">
        <v>359</v>
      </c>
      <c r="G197" s="14">
        <v>174</v>
      </c>
      <c r="H197" s="14">
        <v>36</v>
      </c>
      <c r="I197" s="14">
        <v>0</v>
      </c>
      <c r="J197" s="14" t="s">
        <v>352</v>
      </c>
      <c r="K197" s="14" t="s">
        <v>356</v>
      </c>
      <c r="L197" s="14">
        <v>0</v>
      </c>
      <c r="M197" s="14">
        <v>0</v>
      </c>
      <c r="N197" s="14" t="s">
        <v>352</v>
      </c>
      <c r="O197" s="14" t="s">
        <v>356</v>
      </c>
      <c r="P197" s="14">
        <v>316</v>
      </c>
      <c r="Q197" s="14" t="str">
        <f t="shared" si="3"/>
        <v>Y</v>
      </c>
    </row>
    <row r="198" spans="1:17" s="14" customFormat="1" x14ac:dyDescent="0.25">
      <c r="A198" s="14" t="s">
        <v>333</v>
      </c>
      <c r="B198" s="17">
        <v>-76.309595000000002</v>
      </c>
      <c r="C198" s="17">
        <v>42.809291000000002</v>
      </c>
      <c r="D198" s="14">
        <v>8</v>
      </c>
      <c r="E198" s="14" t="s">
        <v>363</v>
      </c>
      <c r="F198" s="14" t="s">
        <v>360</v>
      </c>
      <c r="L198" s="14">
        <v>44</v>
      </c>
      <c r="M198" s="14">
        <v>0</v>
      </c>
      <c r="N198" s="14" t="s">
        <v>352</v>
      </c>
      <c r="O198" s="14" t="s">
        <v>356</v>
      </c>
      <c r="Q198" s="14" t="str">
        <f t="shared" si="3"/>
        <v>Y</v>
      </c>
    </row>
    <row r="199" spans="1:17" s="14" customFormat="1" hidden="1" x14ac:dyDescent="0.25">
      <c r="A199" s="14" t="s">
        <v>55</v>
      </c>
      <c r="B199" s="17">
        <v>-76.294551999999996</v>
      </c>
      <c r="C199" s="17">
        <v>42.810949999999998</v>
      </c>
      <c r="D199" s="14">
        <v>11</v>
      </c>
      <c r="E199" s="14" t="s">
        <v>363</v>
      </c>
      <c r="F199" s="14" t="s">
        <v>359</v>
      </c>
      <c r="G199" s="14">
        <v>480</v>
      </c>
      <c r="H199" s="14">
        <v>301</v>
      </c>
      <c r="I199" s="14">
        <v>2</v>
      </c>
      <c r="J199" s="14" t="s">
        <v>352</v>
      </c>
      <c r="K199" s="14" t="s">
        <v>355</v>
      </c>
      <c r="P199" s="14">
        <v>206</v>
      </c>
      <c r="Q199" s="14" t="str">
        <f t="shared" si="3"/>
        <v>Y</v>
      </c>
    </row>
    <row r="200" spans="1:17" s="14" customFormat="1" hidden="1" x14ac:dyDescent="0.25">
      <c r="A200" s="14" t="s">
        <v>172</v>
      </c>
      <c r="B200" s="17">
        <v>-76.294551999999996</v>
      </c>
      <c r="C200" s="17">
        <v>42.810949999999998</v>
      </c>
      <c r="D200" s="14">
        <v>11</v>
      </c>
      <c r="E200" s="14" t="s">
        <v>363</v>
      </c>
      <c r="F200" s="14" t="s">
        <v>360</v>
      </c>
      <c r="P200" s="14">
        <v>266</v>
      </c>
      <c r="Q200" s="14" t="str">
        <f t="shared" si="3"/>
        <v/>
      </c>
    </row>
    <row r="201" spans="1:17" s="14" customFormat="1" hidden="1" x14ac:dyDescent="0.25">
      <c r="A201" s="14" t="s">
        <v>56</v>
      </c>
      <c r="B201" s="17">
        <v>-76.3094617615902</v>
      </c>
      <c r="C201" s="17">
        <v>42.809365283385802</v>
      </c>
      <c r="D201" s="14">
        <v>11</v>
      </c>
      <c r="E201" s="14" t="s">
        <v>363</v>
      </c>
      <c r="F201" s="14" t="s">
        <v>359</v>
      </c>
      <c r="G201" s="14">
        <v>273</v>
      </c>
      <c r="Q201" s="14" t="str">
        <f t="shared" si="3"/>
        <v/>
      </c>
    </row>
    <row r="202" spans="1:17" s="14" customFormat="1" x14ac:dyDescent="0.25">
      <c r="A202" s="14" t="s">
        <v>173</v>
      </c>
      <c r="B202" s="17">
        <v>-76.309424000000007</v>
      </c>
      <c r="C202" s="17">
        <v>42.809382999999997</v>
      </c>
      <c r="D202" s="14">
        <v>12</v>
      </c>
      <c r="E202" s="14" t="s">
        <v>363</v>
      </c>
      <c r="F202" s="14" t="s">
        <v>359</v>
      </c>
      <c r="L202" s="14">
        <v>56</v>
      </c>
      <c r="M202" s="14">
        <v>1</v>
      </c>
      <c r="N202" s="14" t="s">
        <v>352</v>
      </c>
      <c r="O202" s="14" t="s">
        <v>355</v>
      </c>
      <c r="P202" s="14">
        <v>58</v>
      </c>
      <c r="Q202" s="14" t="str">
        <f t="shared" si="3"/>
        <v>Y</v>
      </c>
    </row>
    <row r="203" spans="1:17" s="14" customFormat="1" x14ac:dyDescent="0.25">
      <c r="A203" s="14" t="s">
        <v>290</v>
      </c>
      <c r="B203" s="17">
        <v>-76.309424000000007</v>
      </c>
      <c r="C203" s="17">
        <v>42.809382999999997</v>
      </c>
      <c r="D203" s="14">
        <v>12</v>
      </c>
      <c r="E203" s="14" t="s">
        <v>363</v>
      </c>
      <c r="F203" s="14" t="s">
        <v>360</v>
      </c>
      <c r="L203" s="14">
        <v>103</v>
      </c>
      <c r="M203" s="14">
        <v>2</v>
      </c>
      <c r="N203" s="14" t="s">
        <v>352</v>
      </c>
      <c r="O203" s="14" t="s">
        <v>355</v>
      </c>
      <c r="Q203" s="14" t="str">
        <f t="shared" si="3"/>
        <v>Y</v>
      </c>
    </row>
    <row r="204" spans="1:17" s="14" customFormat="1" hidden="1" x14ac:dyDescent="0.25">
      <c r="A204" s="14" t="s">
        <v>57</v>
      </c>
      <c r="B204" s="17">
        <v>-76.294614999999993</v>
      </c>
      <c r="C204" s="17">
        <v>42.810983999999998</v>
      </c>
      <c r="D204" s="14">
        <v>14</v>
      </c>
      <c r="E204" s="14" t="s">
        <v>363</v>
      </c>
      <c r="F204" s="14" t="s">
        <v>359</v>
      </c>
      <c r="G204" s="14">
        <v>518</v>
      </c>
      <c r="H204" s="14">
        <v>167</v>
      </c>
      <c r="I204" s="14">
        <v>1</v>
      </c>
      <c r="J204" s="14" t="s">
        <v>352</v>
      </c>
      <c r="K204" s="14" t="s">
        <v>355</v>
      </c>
      <c r="P204" s="14">
        <v>209</v>
      </c>
      <c r="Q204" s="14" t="str">
        <f t="shared" si="3"/>
        <v>Y</v>
      </c>
    </row>
    <row r="205" spans="1:17" s="14" customFormat="1" hidden="1" x14ac:dyDescent="0.25">
      <c r="A205" s="14" t="s">
        <v>174</v>
      </c>
      <c r="B205" s="17">
        <v>-76.294614999999993</v>
      </c>
      <c r="C205" s="17">
        <v>42.810983999999998</v>
      </c>
      <c r="D205" s="14">
        <v>14</v>
      </c>
      <c r="E205" s="14" t="s">
        <v>363</v>
      </c>
      <c r="F205" s="14" t="s">
        <v>360</v>
      </c>
      <c r="P205" s="14">
        <v>100</v>
      </c>
      <c r="Q205" s="14" t="str">
        <f t="shared" si="3"/>
        <v/>
      </c>
    </row>
    <row r="206" spans="1:17" s="14" customFormat="1" x14ac:dyDescent="0.25">
      <c r="A206" s="14" t="s">
        <v>175</v>
      </c>
      <c r="B206" s="17">
        <v>-76.309289000000007</v>
      </c>
      <c r="C206" s="17">
        <v>42.809323999999997</v>
      </c>
      <c r="D206" s="14">
        <v>14</v>
      </c>
      <c r="E206" s="14" t="s">
        <v>363</v>
      </c>
      <c r="F206" s="14" t="s">
        <v>359</v>
      </c>
      <c r="L206" s="14">
        <v>160</v>
      </c>
      <c r="M206" s="14">
        <v>0</v>
      </c>
      <c r="N206" s="14" t="s">
        <v>352</v>
      </c>
      <c r="O206" s="14" t="s">
        <v>355</v>
      </c>
      <c r="P206" s="14">
        <v>101</v>
      </c>
      <c r="Q206" s="14" t="str">
        <f t="shared" si="3"/>
        <v>Y</v>
      </c>
    </row>
    <row r="207" spans="1:17" s="14" customFormat="1" x14ac:dyDescent="0.25">
      <c r="A207" s="14" t="s">
        <v>334</v>
      </c>
      <c r="B207" s="17">
        <v>-76.309289000000007</v>
      </c>
      <c r="C207" s="17">
        <v>42.809323999999997</v>
      </c>
      <c r="D207" s="14">
        <v>14</v>
      </c>
      <c r="E207" s="14" t="s">
        <v>363</v>
      </c>
      <c r="F207" s="14" t="s">
        <v>360</v>
      </c>
      <c r="L207" s="14">
        <v>26</v>
      </c>
      <c r="M207" s="14">
        <v>0</v>
      </c>
      <c r="N207" s="14" t="s">
        <v>352</v>
      </c>
      <c r="O207" s="14" t="s">
        <v>353</v>
      </c>
      <c r="Q207" s="14" t="str">
        <f t="shared" si="3"/>
        <v>Y</v>
      </c>
    </row>
    <row r="208" spans="1:17" s="14" customFormat="1" hidden="1" x14ac:dyDescent="0.25">
      <c r="A208" s="14" t="s">
        <v>58</v>
      </c>
      <c r="B208" s="17">
        <v>-76.294678000000005</v>
      </c>
      <c r="C208" s="17">
        <v>42.810949999999998</v>
      </c>
      <c r="D208" s="14">
        <v>17</v>
      </c>
      <c r="E208" s="14" t="s">
        <v>363</v>
      </c>
      <c r="F208" s="14" t="s">
        <v>359</v>
      </c>
      <c r="G208" s="14">
        <v>93</v>
      </c>
      <c r="H208" s="14">
        <v>121</v>
      </c>
      <c r="I208" s="14">
        <v>1</v>
      </c>
      <c r="J208" s="14" t="s">
        <v>352</v>
      </c>
      <c r="K208" s="14" t="s">
        <v>355</v>
      </c>
      <c r="P208" s="14">
        <v>219</v>
      </c>
      <c r="Q208" s="14" t="str">
        <f t="shared" si="3"/>
        <v>Y</v>
      </c>
    </row>
    <row r="209" spans="1:17" s="14" customFormat="1" x14ac:dyDescent="0.25">
      <c r="A209" s="14" t="s">
        <v>176</v>
      </c>
      <c r="B209" s="17">
        <v>-76.309134999999998</v>
      </c>
      <c r="C209" s="17">
        <v>42.809303999999997</v>
      </c>
      <c r="D209" s="14">
        <v>17</v>
      </c>
      <c r="E209" s="14" t="s">
        <v>363</v>
      </c>
      <c r="F209" s="14" t="s">
        <v>359</v>
      </c>
      <c r="L209" s="14">
        <v>99</v>
      </c>
      <c r="M209" s="14">
        <v>2</v>
      </c>
      <c r="N209" s="14" t="s">
        <v>352</v>
      </c>
      <c r="O209" s="14" t="s">
        <v>355</v>
      </c>
      <c r="P209" s="14">
        <v>190</v>
      </c>
      <c r="Q209" s="14" t="str">
        <f t="shared" si="3"/>
        <v>Y</v>
      </c>
    </row>
    <row r="210" spans="1:17" s="14" customFormat="1" x14ac:dyDescent="0.25">
      <c r="A210" s="14" t="s">
        <v>291</v>
      </c>
      <c r="B210" s="17">
        <v>-76.309134999999998</v>
      </c>
      <c r="C210" s="17">
        <v>42.809303999999997</v>
      </c>
      <c r="D210" s="14">
        <v>17</v>
      </c>
      <c r="E210" s="14" t="s">
        <v>363</v>
      </c>
      <c r="F210" s="14" t="s">
        <v>360</v>
      </c>
      <c r="L210" s="14">
        <v>122</v>
      </c>
      <c r="M210" s="14">
        <v>2</v>
      </c>
      <c r="N210" s="14" t="s">
        <v>352</v>
      </c>
      <c r="O210" s="14" t="s">
        <v>355</v>
      </c>
      <c r="Q210" s="14" t="str">
        <f t="shared" si="3"/>
        <v>Y</v>
      </c>
    </row>
    <row r="211" spans="1:17" s="14" customFormat="1" x14ac:dyDescent="0.25">
      <c r="A211" s="14" t="s">
        <v>177</v>
      </c>
      <c r="B211" s="17">
        <v>-76.293622999999997</v>
      </c>
      <c r="C211" s="17">
        <v>42.809680999999998</v>
      </c>
      <c r="D211" s="14">
        <v>24</v>
      </c>
      <c r="E211" s="14" t="s">
        <v>363</v>
      </c>
      <c r="F211" s="14" t="s">
        <v>359</v>
      </c>
      <c r="L211" s="14">
        <v>575</v>
      </c>
      <c r="M211" s="14">
        <v>2</v>
      </c>
      <c r="N211" s="14" t="s">
        <v>352</v>
      </c>
      <c r="O211" s="14" t="s">
        <v>355</v>
      </c>
      <c r="P211" s="14">
        <v>96</v>
      </c>
      <c r="Q211" s="14" t="str">
        <f t="shared" si="3"/>
        <v>Y</v>
      </c>
    </row>
    <row r="212" spans="1:17" s="14" customFormat="1" x14ac:dyDescent="0.25">
      <c r="A212" s="14" t="s">
        <v>335</v>
      </c>
      <c r="B212" s="17">
        <v>-76.293622999999997</v>
      </c>
      <c r="C212" s="17">
        <v>42.809680999999998</v>
      </c>
      <c r="D212" s="14">
        <v>24</v>
      </c>
      <c r="E212" s="14" t="s">
        <v>363</v>
      </c>
      <c r="F212" s="14" t="s">
        <v>360</v>
      </c>
      <c r="L212" s="14">
        <v>0</v>
      </c>
      <c r="M212" s="14">
        <v>0</v>
      </c>
      <c r="N212" s="14" t="s">
        <v>352</v>
      </c>
      <c r="O212" s="14" t="s">
        <v>355</v>
      </c>
      <c r="Q212" s="14" t="str">
        <f t="shared" si="3"/>
        <v>Y</v>
      </c>
    </row>
    <row r="213" spans="1:17" s="14" customFormat="1" x14ac:dyDescent="0.25">
      <c r="A213" s="14" t="s">
        <v>178</v>
      </c>
      <c r="B213" s="17">
        <v>-76.308937</v>
      </c>
      <c r="C213" s="17">
        <v>42.809263999999999</v>
      </c>
      <c r="D213" s="14">
        <v>24</v>
      </c>
      <c r="E213" s="14" t="s">
        <v>363</v>
      </c>
      <c r="F213" s="14" t="s">
        <v>359</v>
      </c>
      <c r="L213" s="14">
        <v>186</v>
      </c>
      <c r="M213" s="14">
        <v>1</v>
      </c>
      <c r="N213" s="14" t="s">
        <v>352</v>
      </c>
      <c r="O213" s="14" t="s">
        <v>355</v>
      </c>
      <c r="P213" s="14">
        <v>23</v>
      </c>
      <c r="Q213" s="14" t="str">
        <f t="shared" si="3"/>
        <v>Y</v>
      </c>
    </row>
    <row r="214" spans="1:17" s="14" customFormat="1" x14ac:dyDescent="0.25">
      <c r="A214" s="14" t="s">
        <v>292</v>
      </c>
      <c r="B214" s="17">
        <v>-76.308937</v>
      </c>
      <c r="C214" s="17">
        <v>42.809263999999999</v>
      </c>
      <c r="D214" s="14">
        <v>24</v>
      </c>
      <c r="E214" s="14" t="s">
        <v>363</v>
      </c>
      <c r="F214" s="14" t="s">
        <v>360</v>
      </c>
      <c r="L214" s="14">
        <v>187</v>
      </c>
      <c r="M214" s="14">
        <v>1</v>
      </c>
      <c r="N214" s="14" t="s">
        <v>352</v>
      </c>
      <c r="O214" s="14" t="s">
        <v>355</v>
      </c>
      <c r="Q214" s="14" t="str">
        <f t="shared" si="3"/>
        <v>Y</v>
      </c>
    </row>
    <row r="215" spans="1:17" s="14" customFormat="1" x14ac:dyDescent="0.25">
      <c r="A215" s="14" t="s">
        <v>293</v>
      </c>
      <c r="B215" s="17">
        <v>-76.308739000000003</v>
      </c>
      <c r="C215" s="17">
        <v>42.809251000000003</v>
      </c>
      <c r="D215" s="14">
        <v>30</v>
      </c>
      <c r="E215" s="14" t="s">
        <v>363</v>
      </c>
      <c r="F215" s="14" t="s">
        <v>359</v>
      </c>
      <c r="L215" s="14">
        <v>292</v>
      </c>
      <c r="M215" s="14">
        <v>1</v>
      </c>
      <c r="N215" s="14" t="s">
        <v>352</v>
      </c>
      <c r="O215" s="14" t="s">
        <v>355</v>
      </c>
      <c r="P215" s="14">
        <v>129</v>
      </c>
      <c r="Q215" s="14" t="str">
        <f t="shared" si="3"/>
        <v>Y</v>
      </c>
    </row>
    <row r="216" spans="1:17" s="14" customFormat="1" x14ac:dyDescent="0.25">
      <c r="A216" s="14" t="s">
        <v>294</v>
      </c>
      <c r="B216" s="17">
        <v>-76.308739000000003</v>
      </c>
      <c r="C216" s="17">
        <v>42.809251000000003</v>
      </c>
      <c r="D216" s="14">
        <v>30</v>
      </c>
      <c r="E216" s="14" t="s">
        <v>363</v>
      </c>
      <c r="F216" s="14" t="s">
        <v>360</v>
      </c>
      <c r="L216" s="14">
        <v>162</v>
      </c>
      <c r="M216" s="14">
        <v>1</v>
      </c>
      <c r="N216" s="14" t="s">
        <v>352</v>
      </c>
      <c r="O216" s="14" t="s">
        <v>355</v>
      </c>
      <c r="Q216" s="14" t="str">
        <f t="shared" si="3"/>
        <v>Y</v>
      </c>
    </row>
    <row r="217" spans="1:17" s="14" customFormat="1" x14ac:dyDescent="0.25">
      <c r="A217" s="14" t="s">
        <v>179</v>
      </c>
      <c r="B217" s="17">
        <v>-76.293777000000006</v>
      </c>
      <c r="C217" s="17">
        <v>42.809516000000002</v>
      </c>
      <c r="D217" s="14">
        <v>31</v>
      </c>
      <c r="E217" s="14" t="s">
        <v>363</v>
      </c>
      <c r="F217" s="14" t="s">
        <v>359</v>
      </c>
      <c r="L217" s="14">
        <v>167</v>
      </c>
      <c r="M217" s="14">
        <v>2</v>
      </c>
      <c r="N217" s="14" t="s">
        <v>352</v>
      </c>
      <c r="O217" s="14" t="s">
        <v>355</v>
      </c>
      <c r="P217" s="14">
        <v>40</v>
      </c>
      <c r="Q217" s="14" t="str">
        <f t="shared" si="3"/>
        <v>Y</v>
      </c>
    </row>
    <row r="218" spans="1:17" s="14" customFormat="1" x14ac:dyDescent="0.25">
      <c r="A218" s="14" t="s">
        <v>180</v>
      </c>
      <c r="B218" s="17">
        <v>-76.308504999999997</v>
      </c>
      <c r="C218" s="17">
        <v>42.809263999999999</v>
      </c>
      <c r="D218" s="14">
        <v>35</v>
      </c>
      <c r="E218" s="14" t="s">
        <v>363</v>
      </c>
      <c r="F218" s="14" t="s">
        <v>359</v>
      </c>
      <c r="L218" s="14">
        <v>153</v>
      </c>
      <c r="M218" s="14">
        <v>2</v>
      </c>
      <c r="N218" s="14" t="s">
        <v>352</v>
      </c>
      <c r="O218" s="14" t="s">
        <v>355</v>
      </c>
      <c r="P218" s="14">
        <v>166</v>
      </c>
      <c r="Q218" s="14" t="str">
        <f t="shared" si="3"/>
        <v>Y</v>
      </c>
    </row>
    <row r="219" spans="1:17" s="14" customFormat="1" x14ac:dyDescent="0.25">
      <c r="A219" s="14" t="s">
        <v>295</v>
      </c>
      <c r="B219" s="17">
        <v>-76.308504999999997</v>
      </c>
      <c r="C219" s="17">
        <v>42.809263999999999</v>
      </c>
      <c r="D219" s="14">
        <v>35</v>
      </c>
      <c r="E219" s="14" t="s">
        <v>363</v>
      </c>
      <c r="F219" s="14" t="s">
        <v>360</v>
      </c>
      <c r="L219" s="14">
        <v>130</v>
      </c>
      <c r="M219" s="14">
        <v>2</v>
      </c>
      <c r="N219" s="14" t="s">
        <v>352</v>
      </c>
      <c r="O219" s="14" t="s">
        <v>355</v>
      </c>
      <c r="Q219" s="14" t="str">
        <f t="shared" si="3"/>
        <v>Y</v>
      </c>
    </row>
    <row r="220" spans="1:17" s="14" customFormat="1" x14ac:dyDescent="0.25">
      <c r="A220" s="14" t="s">
        <v>181</v>
      </c>
      <c r="B220" s="17">
        <v>-76.293858</v>
      </c>
      <c r="C220" s="17">
        <v>42.809475999999997</v>
      </c>
      <c r="D220" s="14">
        <v>38</v>
      </c>
      <c r="E220" s="14" t="s">
        <v>363</v>
      </c>
      <c r="F220" s="14" t="s">
        <v>359</v>
      </c>
      <c r="L220" s="14">
        <v>124</v>
      </c>
      <c r="M220" s="14">
        <v>1</v>
      </c>
      <c r="N220" s="14" t="s">
        <v>352</v>
      </c>
      <c r="O220" s="14" t="s">
        <v>355</v>
      </c>
      <c r="P220" s="14">
        <v>152</v>
      </c>
      <c r="Q220" s="14" t="str">
        <f t="shared" si="3"/>
        <v>Y</v>
      </c>
    </row>
    <row r="221" spans="1:17" s="14" customFormat="1" x14ac:dyDescent="0.25">
      <c r="A221" s="14" t="s">
        <v>182</v>
      </c>
      <c r="B221" s="17">
        <v>-76.308386999999996</v>
      </c>
      <c r="C221" s="17">
        <v>42.809364000000002</v>
      </c>
      <c r="D221" s="14">
        <v>43</v>
      </c>
      <c r="E221" s="14" t="s">
        <v>363</v>
      </c>
      <c r="F221" s="14" t="s">
        <v>359</v>
      </c>
      <c r="L221" s="14">
        <v>105</v>
      </c>
      <c r="M221" s="14">
        <v>2</v>
      </c>
      <c r="N221" s="14" t="s">
        <v>352</v>
      </c>
      <c r="O221" s="14" t="s">
        <v>355</v>
      </c>
      <c r="P221" s="14">
        <v>185</v>
      </c>
      <c r="Q221" s="14" t="str">
        <f t="shared" si="3"/>
        <v>Y</v>
      </c>
    </row>
    <row r="222" spans="1:17" s="14" customFormat="1" x14ac:dyDescent="0.25">
      <c r="A222" s="14" t="s">
        <v>296</v>
      </c>
      <c r="B222" s="17">
        <v>-76.308386999999996</v>
      </c>
      <c r="C222" s="17">
        <v>42.809364000000002</v>
      </c>
      <c r="D222" s="14">
        <v>43</v>
      </c>
      <c r="E222" s="14" t="s">
        <v>363</v>
      </c>
      <c r="F222" s="14" t="s">
        <v>360</v>
      </c>
      <c r="L222" s="14">
        <v>210</v>
      </c>
      <c r="M222" s="14">
        <v>2</v>
      </c>
      <c r="N222" s="14" t="s">
        <v>352</v>
      </c>
      <c r="O222" s="14" t="s">
        <v>355</v>
      </c>
      <c r="Q222" s="14" t="str">
        <f t="shared" si="3"/>
        <v>Y</v>
      </c>
    </row>
    <row r="223" spans="1:17" s="14" customFormat="1" x14ac:dyDescent="0.25">
      <c r="A223" s="14" t="s">
        <v>183</v>
      </c>
      <c r="B223" s="17">
        <v>-76.294020000000003</v>
      </c>
      <c r="C223" s="17">
        <v>42.809443000000002</v>
      </c>
      <c r="D223" s="14">
        <v>45</v>
      </c>
      <c r="E223" s="14" t="s">
        <v>363</v>
      </c>
      <c r="F223" s="14" t="s">
        <v>359</v>
      </c>
      <c r="L223" s="14">
        <v>86</v>
      </c>
      <c r="M223" s="14">
        <v>1</v>
      </c>
      <c r="N223" s="14" t="s">
        <v>352</v>
      </c>
      <c r="O223" s="14" t="s">
        <v>355</v>
      </c>
      <c r="P223" s="14">
        <v>44</v>
      </c>
      <c r="Q223" s="14" t="str">
        <f t="shared" si="3"/>
        <v>Y</v>
      </c>
    </row>
    <row r="224" spans="1:17" x14ac:dyDescent="0.25">
      <c r="A224" s="14" t="s">
        <v>184</v>
      </c>
      <c r="B224" s="17">
        <v>-76.308134999999993</v>
      </c>
      <c r="C224" s="17">
        <v>42.809330000000003</v>
      </c>
      <c r="D224" s="14">
        <v>50</v>
      </c>
      <c r="E224" s="14" t="s">
        <v>363</v>
      </c>
      <c r="F224" s="14" t="s">
        <v>359</v>
      </c>
      <c r="G224" s="14"/>
      <c r="H224" s="14"/>
      <c r="I224" s="14"/>
      <c r="J224" s="14"/>
      <c r="K224" s="14"/>
      <c r="L224" s="14">
        <v>123</v>
      </c>
      <c r="M224" s="14">
        <v>2</v>
      </c>
      <c r="N224" s="14" t="s">
        <v>352</v>
      </c>
      <c r="O224" s="14" t="s">
        <v>355</v>
      </c>
      <c r="P224" s="14">
        <v>50</v>
      </c>
      <c r="Q224" s="14" t="str">
        <f t="shared" si="3"/>
        <v>Y</v>
      </c>
    </row>
    <row r="225" spans="1:17" s="14" customFormat="1" x14ac:dyDescent="0.25">
      <c r="A225" s="14" t="s">
        <v>185</v>
      </c>
      <c r="B225" s="17">
        <v>-76.294263000000001</v>
      </c>
      <c r="C225" s="17">
        <v>42.809455999999997</v>
      </c>
      <c r="D225" s="14">
        <v>52</v>
      </c>
      <c r="E225" s="14" t="s">
        <v>363</v>
      </c>
      <c r="F225" s="14" t="s">
        <v>359</v>
      </c>
      <c r="L225" s="14">
        <v>134</v>
      </c>
      <c r="M225" s="14">
        <v>2</v>
      </c>
      <c r="N225" s="14" t="s">
        <v>352</v>
      </c>
      <c r="O225" s="14" t="s">
        <v>355</v>
      </c>
      <c r="P225" s="14">
        <v>86</v>
      </c>
      <c r="Q225" s="14" t="str">
        <f t="shared" si="3"/>
        <v>Y</v>
      </c>
    </row>
    <row r="226" spans="1:17" s="14" customFormat="1" hidden="1" x14ac:dyDescent="0.25">
      <c r="A226" s="14" t="s">
        <v>186</v>
      </c>
      <c r="B226" s="17">
        <v>-76.295317999999995</v>
      </c>
      <c r="C226" s="17">
        <v>42.809694</v>
      </c>
      <c r="D226" s="14">
        <v>65</v>
      </c>
      <c r="E226" s="14" t="s">
        <v>363</v>
      </c>
      <c r="F226" s="14" t="s">
        <v>359</v>
      </c>
      <c r="P226" s="14">
        <v>1</v>
      </c>
      <c r="Q226" s="14" t="str">
        <f t="shared" si="3"/>
        <v/>
      </c>
    </row>
    <row r="227" spans="1:17" s="14" customFormat="1" hidden="1" x14ac:dyDescent="0.25">
      <c r="A227" s="14" t="s">
        <v>187</v>
      </c>
      <c r="B227" s="17">
        <v>-76.307603</v>
      </c>
      <c r="C227" s="17">
        <v>42.809336999999999</v>
      </c>
      <c r="D227" s="14">
        <v>65</v>
      </c>
      <c r="E227" s="14" t="s">
        <v>363</v>
      </c>
      <c r="F227" s="14" t="s">
        <v>359</v>
      </c>
      <c r="P227" s="14">
        <v>98</v>
      </c>
      <c r="Q227" s="14" t="str">
        <f t="shared" si="3"/>
        <v/>
      </c>
    </row>
    <row r="228" spans="1:17" s="14" customFormat="1" hidden="1" x14ac:dyDescent="0.25">
      <c r="A228" s="14" t="s">
        <v>188</v>
      </c>
      <c r="B228" s="17">
        <v>-76.307603</v>
      </c>
      <c r="C228" s="17">
        <v>42.809336999999999</v>
      </c>
      <c r="D228" s="14">
        <v>65</v>
      </c>
      <c r="E228" s="14" t="s">
        <v>363</v>
      </c>
      <c r="F228" s="14" t="s">
        <v>360</v>
      </c>
      <c r="P228" s="14">
        <v>60</v>
      </c>
      <c r="Q228" s="14" t="str">
        <f t="shared" si="3"/>
        <v/>
      </c>
    </row>
    <row r="229" spans="1:17" s="14" customFormat="1" hidden="1" x14ac:dyDescent="0.25">
      <c r="A229" s="14" t="s">
        <v>189</v>
      </c>
      <c r="B229" s="17">
        <v>-76.307288</v>
      </c>
      <c r="C229" s="17">
        <v>42.80941</v>
      </c>
      <c r="D229" s="14">
        <v>72</v>
      </c>
      <c r="E229" s="14" t="s">
        <v>363</v>
      </c>
      <c r="F229" s="14" t="s">
        <v>359</v>
      </c>
      <c r="P229" s="14">
        <v>41</v>
      </c>
      <c r="Q229" s="14" t="str">
        <f t="shared" si="3"/>
        <v/>
      </c>
    </row>
    <row r="230" spans="1:17" s="14" customFormat="1" hidden="1" x14ac:dyDescent="0.25">
      <c r="A230" s="14" t="s">
        <v>190</v>
      </c>
      <c r="B230" s="17">
        <v>-76.307288</v>
      </c>
      <c r="C230" s="17">
        <v>42.809555000000003</v>
      </c>
      <c r="D230" s="14">
        <v>74</v>
      </c>
      <c r="E230" s="14" t="s">
        <v>363</v>
      </c>
      <c r="F230" s="14" t="s">
        <v>359</v>
      </c>
      <c r="P230" s="14">
        <v>58</v>
      </c>
      <c r="Q230" s="14" t="str">
        <f t="shared" si="3"/>
        <v/>
      </c>
    </row>
    <row r="231" spans="1:17" s="14" customFormat="1" hidden="1" x14ac:dyDescent="0.25">
      <c r="A231" s="14" t="s">
        <v>191</v>
      </c>
      <c r="B231" s="17">
        <v>-76.296030000000002</v>
      </c>
      <c r="C231" s="17">
        <v>42.809654000000002</v>
      </c>
      <c r="D231" s="14">
        <v>75</v>
      </c>
      <c r="E231" s="14" t="s">
        <v>363</v>
      </c>
      <c r="F231" s="14" t="s">
        <v>359</v>
      </c>
      <c r="P231" s="14">
        <v>117</v>
      </c>
      <c r="Q231" s="14" t="str">
        <f t="shared" si="3"/>
        <v/>
      </c>
    </row>
    <row r="232" spans="1:17" s="14" customFormat="1" hidden="1" x14ac:dyDescent="0.25">
      <c r="A232" s="14" t="s">
        <v>192</v>
      </c>
      <c r="B232" s="17">
        <v>-76.297571000000005</v>
      </c>
      <c r="C232" s="17">
        <v>42.809483</v>
      </c>
      <c r="D232" s="14">
        <v>80</v>
      </c>
      <c r="E232" s="14" t="s">
        <v>363</v>
      </c>
      <c r="F232" s="14" t="s">
        <v>359</v>
      </c>
      <c r="P232" s="14">
        <v>9</v>
      </c>
      <c r="Q232" s="14" t="str">
        <f t="shared" si="3"/>
        <v/>
      </c>
    </row>
    <row r="233" spans="1:17" s="14" customFormat="1" hidden="1" x14ac:dyDescent="0.25">
      <c r="A233" s="14" t="s">
        <v>244</v>
      </c>
      <c r="B233" s="17">
        <v>-76.305340999999999</v>
      </c>
      <c r="C233" s="17">
        <v>42.809323999999997</v>
      </c>
      <c r="D233" s="14">
        <v>80</v>
      </c>
      <c r="E233" s="14" t="s">
        <v>363</v>
      </c>
      <c r="F233" s="14" t="s">
        <v>359</v>
      </c>
      <c r="P233" s="14">
        <v>0</v>
      </c>
      <c r="Q233" s="14" t="str">
        <f t="shared" si="3"/>
        <v/>
      </c>
    </row>
    <row r="234" spans="1:17" s="14" customFormat="1" hidden="1" x14ac:dyDescent="0.25">
      <c r="A234" s="14" t="s">
        <v>193</v>
      </c>
      <c r="B234" s="17">
        <v>-76.301123000000004</v>
      </c>
      <c r="C234" s="17">
        <v>42.809423000000002</v>
      </c>
      <c r="D234" s="14">
        <v>82</v>
      </c>
      <c r="E234" s="14" t="s">
        <v>363</v>
      </c>
      <c r="F234" s="14" t="s">
        <v>359</v>
      </c>
      <c r="P234" s="14">
        <v>2</v>
      </c>
      <c r="Q234" s="14" t="str">
        <f t="shared" si="3"/>
        <v/>
      </c>
    </row>
    <row r="235" spans="1:17" s="14" customFormat="1" x14ac:dyDescent="0.25">
      <c r="A235" s="14" t="s">
        <v>194</v>
      </c>
      <c r="B235" s="17">
        <v>-76.270216000000005</v>
      </c>
      <c r="C235" s="17">
        <v>42.772196999999998</v>
      </c>
      <c r="D235" s="14">
        <v>2</v>
      </c>
      <c r="E235" s="14" t="s">
        <v>372</v>
      </c>
      <c r="F235" s="14" t="s">
        <v>359</v>
      </c>
      <c r="L235" s="14">
        <v>140</v>
      </c>
      <c r="M235" s="14">
        <v>2</v>
      </c>
      <c r="N235" s="14" t="s">
        <v>357</v>
      </c>
      <c r="O235" s="14" t="s">
        <v>355</v>
      </c>
      <c r="P235" s="14">
        <v>266</v>
      </c>
      <c r="Q235" s="14" t="str">
        <f t="shared" si="3"/>
        <v>Y</v>
      </c>
    </row>
    <row r="236" spans="1:17" s="14" customFormat="1" x14ac:dyDescent="0.25">
      <c r="A236" s="14" t="s">
        <v>297</v>
      </c>
      <c r="B236" s="17">
        <v>-76.270216000000005</v>
      </c>
      <c r="C236" s="17">
        <v>42.772196999999998</v>
      </c>
      <c r="D236" s="14">
        <v>2</v>
      </c>
      <c r="E236" s="14" t="s">
        <v>372</v>
      </c>
      <c r="F236" s="14" t="s">
        <v>360</v>
      </c>
      <c r="L236" s="14">
        <v>301</v>
      </c>
      <c r="M236" s="14">
        <v>2</v>
      </c>
      <c r="N236" s="14" t="s">
        <v>357</v>
      </c>
      <c r="O236" s="14" t="s">
        <v>355</v>
      </c>
      <c r="Q236" s="14" t="str">
        <f t="shared" si="3"/>
        <v>Y</v>
      </c>
    </row>
    <row r="237" spans="1:17" s="14" customFormat="1" x14ac:dyDescent="0.25">
      <c r="A237" s="14" t="s">
        <v>298</v>
      </c>
      <c r="B237" s="17">
        <v>-76.270216000000005</v>
      </c>
      <c r="C237" s="17">
        <v>42.772196999999998</v>
      </c>
      <c r="D237" s="14">
        <v>2</v>
      </c>
      <c r="E237" s="14" t="s">
        <v>372</v>
      </c>
      <c r="F237" s="14" t="s">
        <v>366</v>
      </c>
      <c r="L237" s="14">
        <v>399</v>
      </c>
      <c r="M237" s="14">
        <v>2</v>
      </c>
      <c r="N237" s="14" t="s">
        <v>357</v>
      </c>
      <c r="O237" s="14" t="s">
        <v>380</v>
      </c>
      <c r="Q237" s="14" t="str">
        <f t="shared" si="3"/>
        <v>Y</v>
      </c>
    </row>
    <row r="238" spans="1:17" s="14" customFormat="1" x14ac:dyDescent="0.25">
      <c r="A238" s="14" t="s">
        <v>195</v>
      </c>
      <c r="B238" s="17">
        <v>-76.280788000000001</v>
      </c>
      <c r="C238" s="17">
        <v>42.779296000000002</v>
      </c>
      <c r="D238" s="14">
        <v>2</v>
      </c>
      <c r="E238" s="14" t="s">
        <v>372</v>
      </c>
      <c r="F238" s="14" t="s">
        <v>359</v>
      </c>
      <c r="L238" s="14">
        <v>129</v>
      </c>
      <c r="M238" s="14">
        <v>1</v>
      </c>
      <c r="N238" s="14" t="s">
        <v>357</v>
      </c>
      <c r="O238" s="14" t="s">
        <v>354</v>
      </c>
      <c r="P238" s="14">
        <v>74</v>
      </c>
      <c r="Q238" s="14" t="str">
        <f t="shared" si="3"/>
        <v>Y</v>
      </c>
    </row>
    <row r="239" spans="1:17" s="14" customFormat="1" x14ac:dyDescent="0.25">
      <c r="A239" s="14" t="s">
        <v>299</v>
      </c>
      <c r="B239" s="17">
        <v>-76.280788000000001</v>
      </c>
      <c r="C239" s="17">
        <v>42.779296000000002</v>
      </c>
      <c r="D239" s="14">
        <v>2</v>
      </c>
      <c r="E239" s="14" t="s">
        <v>372</v>
      </c>
      <c r="F239" s="14" t="s">
        <v>360</v>
      </c>
      <c r="L239" s="14">
        <v>145</v>
      </c>
      <c r="M239" s="14">
        <v>2</v>
      </c>
      <c r="N239" s="14" t="s">
        <v>352</v>
      </c>
      <c r="O239" s="14" t="s">
        <v>353</v>
      </c>
      <c r="Q239" s="14" t="str">
        <f t="shared" si="3"/>
        <v>Y</v>
      </c>
    </row>
    <row r="240" spans="1:17" s="14" customFormat="1" x14ac:dyDescent="0.25">
      <c r="A240" s="14" t="s">
        <v>196</v>
      </c>
      <c r="B240" s="17">
        <v>-76.269115999999997</v>
      </c>
      <c r="C240" s="17">
        <v>42.779567999999998</v>
      </c>
      <c r="D240" s="14">
        <v>3</v>
      </c>
      <c r="E240" s="14" t="s">
        <v>372</v>
      </c>
      <c r="F240" s="14" t="s">
        <v>359</v>
      </c>
      <c r="L240" s="14">
        <v>216</v>
      </c>
      <c r="M240" s="14">
        <v>1</v>
      </c>
      <c r="N240" s="14" t="s">
        <v>357</v>
      </c>
      <c r="O240" s="14" t="s">
        <v>380</v>
      </c>
      <c r="P240" s="14">
        <v>1</v>
      </c>
      <c r="Q240" s="14" t="str">
        <f t="shared" si="3"/>
        <v>Y</v>
      </c>
    </row>
    <row r="241" spans="1:17" s="14" customFormat="1" x14ac:dyDescent="0.25">
      <c r="A241" s="14" t="s">
        <v>197</v>
      </c>
      <c r="B241" s="17">
        <v>-76.280670999999998</v>
      </c>
      <c r="C241" s="17">
        <v>42.779349000000003</v>
      </c>
      <c r="D241" s="14">
        <v>3</v>
      </c>
      <c r="E241" s="14" t="s">
        <v>372</v>
      </c>
      <c r="F241" s="14" t="s">
        <v>359</v>
      </c>
      <c r="L241" s="14">
        <v>125</v>
      </c>
      <c r="M241" s="14">
        <v>1</v>
      </c>
      <c r="N241" s="14" t="s">
        <v>352</v>
      </c>
      <c r="O241" s="14" t="s">
        <v>355</v>
      </c>
      <c r="P241" s="14">
        <v>444</v>
      </c>
      <c r="Q241" s="14" t="str">
        <f t="shared" si="3"/>
        <v>Y</v>
      </c>
    </row>
    <row r="242" spans="1:17" s="14" customFormat="1" x14ac:dyDescent="0.25">
      <c r="A242" s="14" t="s">
        <v>198</v>
      </c>
      <c r="B242" s="17">
        <v>-76.280670999999998</v>
      </c>
      <c r="C242" s="17">
        <v>42.779349000000003</v>
      </c>
      <c r="D242" s="14">
        <v>3</v>
      </c>
      <c r="E242" s="14" t="s">
        <v>372</v>
      </c>
      <c r="F242" s="14" t="s">
        <v>360</v>
      </c>
      <c r="L242" s="14">
        <v>112</v>
      </c>
      <c r="M242" s="14">
        <v>1</v>
      </c>
      <c r="N242" s="14" t="s">
        <v>352</v>
      </c>
      <c r="O242" s="14" t="s">
        <v>355</v>
      </c>
      <c r="P242" s="14">
        <v>157</v>
      </c>
      <c r="Q242" s="14" t="str">
        <f t="shared" si="3"/>
        <v>Y</v>
      </c>
    </row>
    <row r="243" spans="1:17" s="14" customFormat="1" x14ac:dyDescent="0.25">
      <c r="A243" s="14" t="s">
        <v>199</v>
      </c>
      <c r="B243" s="17">
        <v>-76.269205999999997</v>
      </c>
      <c r="C243" s="17">
        <v>42.779508</v>
      </c>
      <c r="D243" s="14">
        <v>5</v>
      </c>
      <c r="E243" s="14" t="s">
        <v>372</v>
      </c>
      <c r="F243" s="14" t="s">
        <v>359</v>
      </c>
      <c r="L243" s="14">
        <v>207</v>
      </c>
      <c r="M243" s="14">
        <v>1</v>
      </c>
      <c r="N243" s="14" t="s">
        <v>352</v>
      </c>
      <c r="O243" s="14" t="s">
        <v>380</v>
      </c>
      <c r="P243" s="14">
        <v>152</v>
      </c>
      <c r="Q243" s="14" t="str">
        <f t="shared" si="3"/>
        <v>Y</v>
      </c>
    </row>
    <row r="244" spans="1:17" s="14" customFormat="1" x14ac:dyDescent="0.25">
      <c r="A244" s="14" t="s">
        <v>336</v>
      </c>
      <c r="B244" s="17">
        <v>-76.269205999999997</v>
      </c>
      <c r="C244" s="17">
        <v>42.779508</v>
      </c>
      <c r="D244" s="14">
        <v>5</v>
      </c>
      <c r="E244" s="14" t="s">
        <v>372</v>
      </c>
      <c r="F244" s="14" t="s">
        <v>360</v>
      </c>
      <c r="L244" s="14">
        <v>0</v>
      </c>
      <c r="M244" s="14">
        <v>0</v>
      </c>
      <c r="N244" s="14" t="s">
        <v>352</v>
      </c>
      <c r="O244" s="14" t="s">
        <v>381</v>
      </c>
      <c r="Q244" s="14" t="str">
        <f t="shared" si="3"/>
        <v>Y</v>
      </c>
    </row>
    <row r="245" spans="1:17" s="14" customFormat="1" x14ac:dyDescent="0.25">
      <c r="A245" s="14" t="s">
        <v>200</v>
      </c>
      <c r="B245" s="17">
        <v>-76.280518000000001</v>
      </c>
      <c r="C245" s="17">
        <v>42.779176999999997</v>
      </c>
      <c r="D245" s="14">
        <v>5</v>
      </c>
      <c r="E245" s="14" t="s">
        <v>372</v>
      </c>
      <c r="F245" s="14" t="s">
        <v>359</v>
      </c>
      <c r="L245" s="14">
        <v>351</v>
      </c>
      <c r="M245" s="14">
        <v>2</v>
      </c>
      <c r="N245" s="14" t="s">
        <v>352</v>
      </c>
      <c r="O245" s="14" t="s">
        <v>355</v>
      </c>
      <c r="P245" s="14">
        <v>131</v>
      </c>
      <c r="Q245" s="14" t="str">
        <f t="shared" si="3"/>
        <v>Y</v>
      </c>
    </row>
    <row r="246" spans="1:17" s="14" customFormat="1" x14ac:dyDescent="0.25">
      <c r="A246" s="14" t="s">
        <v>201</v>
      </c>
      <c r="B246" s="17">
        <v>-76.269458999999998</v>
      </c>
      <c r="C246" s="17">
        <v>42.779494999999997</v>
      </c>
      <c r="D246" s="14">
        <v>8</v>
      </c>
      <c r="E246" s="14" t="s">
        <v>372</v>
      </c>
      <c r="F246" s="14" t="s">
        <v>359</v>
      </c>
      <c r="L246" s="14">
        <v>97</v>
      </c>
      <c r="M246" s="14">
        <v>2</v>
      </c>
      <c r="N246" s="14" t="s">
        <v>352</v>
      </c>
      <c r="O246" s="14" t="s">
        <v>353</v>
      </c>
      <c r="P246" s="14">
        <v>82</v>
      </c>
      <c r="Q246" s="14" t="str">
        <f t="shared" si="3"/>
        <v>Y</v>
      </c>
    </row>
    <row r="247" spans="1:17" s="14" customFormat="1" x14ac:dyDescent="0.25">
      <c r="A247" s="14" t="s">
        <v>202</v>
      </c>
      <c r="B247" s="17">
        <v>-76.280383</v>
      </c>
      <c r="C247" s="17">
        <v>42.779131</v>
      </c>
      <c r="D247" s="14">
        <v>8</v>
      </c>
      <c r="E247" s="14" t="s">
        <v>372</v>
      </c>
      <c r="F247" s="14" t="s">
        <v>359</v>
      </c>
      <c r="L247" s="14">
        <v>314</v>
      </c>
      <c r="M247" s="14">
        <v>1</v>
      </c>
      <c r="N247" s="14" t="s">
        <v>352</v>
      </c>
      <c r="O247" s="14" t="s">
        <v>355</v>
      </c>
      <c r="P247" s="14">
        <v>175</v>
      </c>
      <c r="Q247" s="14" t="str">
        <f t="shared" si="3"/>
        <v>Y</v>
      </c>
    </row>
    <row r="248" spans="1:17" s="14" customFormat="1" x14ac:dyDescent="0.25">
      <c r="A248" s="14" t="s">
        <v>203</v>
      </c>
      <c r="B248" s="17">
        <v>-76.269638999999998</v>
      </c>
      <c r="C248" s="17">
        <v>42.779521000000003</v>
      </c>
      <c r="D248" s="14">
        <v>11</v>
      </c>
      <c r="E248" s="14" t="s">
        <v>372</v>
      </c>
      <c r="F248" s="14" t="s">
        <v>359</v>
      </c>
      <c r="L248" s="14">
        <v>164</v>
      </c>
      <c r="M248" s="14">
        <v>1</v>
      </c>
      <c r="N248" s="14" t="s">
        <v>352</v>
      </c>
      <c r="O248" s="14" t="s">
        <v>355</v>
      </c>
      <c r="P248" s="14">
        <v>149</v>
      </c>
      <c r="Q248" s="14" t="str">
        <f t="shared" si="3"/>
        <v>Y</v>
      </c>
    </row>
    <row r="249" spans="1:17" s="14" customFormat="1" x14ac:dyDescent="0.25">
      <c r="A249" s="14" t="s">
        <v>300</v>
      </c>
      <c r="B249" s="17">
        <v>-76.280257000000006</v>
      </c>
      <c r="C249" s="17">
        <v>42.779316000000001</v>
      </c>
      <c r="D249" s="14">
        <v>11</v>
      </c>
      <c r="E249" s="14" t="s">
        <v>372</v>
      </c>
      <c r="F249" s="14" t="s">
        <v>359</v>
      </c>
      <c r="L249" s="14">
        <v>404</v>
      </c>
      <c r="M249" s="14">
        <v>2</v>
      </c>
      <c r="N249" s="14" t="s">
        <v>352</v>
      </c>
      <c r="O249" s="14" t="s">
        <v>355</v>
      </c>
      <c r="Q249" s="14" t="str">
        <f t="shared" si="3"/>
        <v>Y</v>
      </c>
    </row>
    <row r="250" spans="1:17" s="14" customFormat="1" x14ac:dyDescent="0.25">
      <c r="A250" s="14" t="s">
        <v>204</v>
      </c>
      <c r="B250" s="17">
        <v>-76.269675000000007</v>
      </c>
      <c r="C250" s="17">
        <v>42.779501000000003</v>
      </c>
      <c r="D250" s="14">
        <v>14</v>
      </c>
      <c r="E250" s="14" t="s">
        <v>372</v>
      </c>
      <c r="F250" s="14" t="s">
        <v>359</v>
      </c>
      <c r="L250" s="14">
        <v>183</v>
      </c>
      <c r="M250" s="14">
        <v>1</v>
      </c>
      <c r="N250" s="14" t="s">
        <v>352</v>
      </c>
      <c r="O250" s="14" t="s">
        <v>355</v>
      </c>
      <c r="P250" s="14">
        <v>81</v>
      </c>
      <c r="Q250" s="14" t="str">
        <f t="shared" si="3"/>
        <v>Y</v>
      </c>
    </row>
    <row r="251" spans="1:17" s="14" customFormat="1" x14ac:dyDescent="0.25">
      <c r="A251" s="14" t="s">
        <v>205</v>
      </c>
      <c r="B251" s="17">
        <v>-76.28013</v>
      </c>
      <c r="C251" s="17">
        <v>42.779243000000001</v>
      </c>
      <c r="D251" s="14">
        <v>14</v>
      </c>
      <c r="E251" s="14" t="s">
        <v>372</v>
      </c>
      <c r="F251" s="14" t="s">
        <v>359</v>
      </c>
      <c r="L251" s="14">
        <v>304</v>
      </c>
      <c r="M251" s="14">
        <v>2</v>
      </c>
      <c r="N251" s="14" t="s">
        <v>352</v>
      </c>
      <c r="O251" s="14" t="s">
        <v>355</v>
      </c>
      <c r="P251" s="14">
        <v>54</v>
      </c>
      <c r="Q251" s="14" t="str">
        <f t="shared" si="3"/>
        <v>Y</v>
      </c>
    </row>
    <row r="252" spans="1:17" s="14" customFormat="1" x14ac:dyDescent="0.25">
      <c r="A252" s="14" t="s">
        <v>206</v>
      </c>
      <c r="B252" s="17">
        <v>-76.269773999999998</v>
      </c>
      <c r="C252" s="17">
        <v>42.779553999999997</v>
      </c>
      <c r="D252" s="14">
        <v>17</v>
      </c>
      <c r="E252" s="14" t="s">
        <v>372</v>
      </c>
      <c r="F252" s="14" t="s">
        <v>359</v>
      </c>
      <c r="L252" s="14">
        <v>560</v>
      </c>
      <c r="M252" s="14">
        <v>0</v>
      </c>
      <c r="N252" s="14" t="s">
        <v>352</v>
      </c>
      <c r="O252" s="14" t="s">
        <v>355</v>
      </c>
      <c r="P252" s="14">
        <v>50</v>
      </c>
      <c r="Q252" s="14" t="str">
        <f t="shared" si="3"/>
        <v>Y</v>
      </c>
    </row>
    <row r="253" spans="1:17" s="14" customFormat="1" x14ac:dyDescent="0.25">
      <c r="A253" s="14" t="s">
        <v>207</v>
      </c>
      <c r="B253" s="17">
        <v>-76.28004</v>
      </c>
      <c r="C253" s="17">
        <v>42.779176999999997</v>
      </c>
      <c r="D253" s="14">
        <v>17</v>
      </c>
      <c r="E253" s="14" t="s">
        <v>372</v>
      </c>
      <c r="F253" s="14" t="s">
        <v>359</v>
      </c>
      <c r="L253" s="14">
        <v>85</v>
      </c>
      <c r="M253" s="14">
        <v>1</v>
      </c>
      <c r="N253" s="14" t="s">
        <v>352</v>
      </c>
      <c r="O253" s="14" t="s">
        <v>355</v>
      </c>
      <c r="P253" s="14">
        <v>211</v>
      </c>
      <c r="Q253" s="14" t="str">
        <f t="shared" si="3"/>
        <v>Y</v>
      </c>
    </row>
    <row r="254" spans="1:17" s="14" customFormat="1" x14ac:dyDescent="0.25">
      <c r="A254" s="14" t="s">
        <v>208</v>
      </c>
      <c r="B254" s="17">
        <v>-76.269953999999998</v>
      </c>
      <c r="C254" s="17">
        <v>42.779494999999997</v>
      </c>
      <c r="D254" s="14">
        <v>24</v>
      </c>
      <c r="E254" s="14" t="s">
        <v>372</v>
      </c>
      <c r="F254" s="14" t="s">
        <v>359</v>
      </c>
      <c r="L254" s="14">
        <v>373</v>
      </c>
      <c r="M254" s="14">
        <v>2</v>
      </c>
      <c r="N254" s="14" t="s">
        <v>352</v>
      </c>
      <c r="O254" s="14" t="s">
        <v>355</v>
      </c>
      <c r="P254" s="14">
        <v>251</v>
      </c>
      <c r="Q254" s="14" t="str">
        <f t="shared" si="3"/>
        <v>Y</v>
      </c>
    </row>
    <row r="255" spans="1:17" s="14" customFormat="1" x14ac:dyDescent="0.25">
      <c r="A255" s="14" t="s">
        <v>301</v>
      </c>
      <c r="B255" s="17">
        <v>-76.269953999999998</v>
      </c>
      <c r="C255" s="17">
        <v>42.779494999999997</v>
      </c>
      <c r="D255" s="14">
        <v>24</v>
      </c>
      <c r="E255" s="14" t="s">
        <v>372</v>
      </c>
      <c r="F255" s="14" t="s">
        <v>360</v>
      </c>
      <c r="L255" s="14">
        <v>258</v>
      </c>
      <c r="M255" s="14">
        <v>2</v>
      </c>
      <c r="N255" s="14" t="s">
        <v>352</v>
      </c>
      <c r="O255" s="14" t="s">
        <v>355</v>
      </c>
      <c r="Q255" s="14" t="str">
        <f t="shared" si="3"/>
        <v>Y</v>
      </c>
    </row>
    <row r="256" spans="1:17" s="14" customFormat="1" x14ac:dyDescent="0.25">
      <c r="A256" s="14" t="s">
        <v>209</v>
      </c>
      <c r="B256" s="17">
        <v>-76.279824000000005</v>
      </c>
      <c r="C256" s="17">
        <v>42.779263</v>
      </c>
      <c r="D256" s="14">
        <v>24</v>
      </c>
      <c r="E256" s="14" t="s">
        <v>372</v>
      </c>
      <c r="F256" s="14" t="s">
        <v>359</v>
      </c>
      <c r="L256" s="14">
        <v>379</v>
      </c>
      <c r="M256" s="14">
        <v>2</v>
      </c>
      <c r="N256" s="14" t="s">
        <v>352</v>
      </c>
      <c r="O256" s="14" t="s">
        <v>355</v>
      </c>
      <c r="P256" s="14">
        <v>54</v>
      </c>
      <c r="Q256" s="14" t="str">
        <f t="shared" si="3"/>
        <v>Y</v>
      </c>
    </row>
    <row r="257" spans="1:17" s="14" customFormat="1" x14ac:dyDescent="0.25">
      <c r="A257" s="14" t="s">
        <v>210</v>
      </c>
      <c r="B257" s="17">
        <v>-76.270467999999994</v>
      </c>
      <c r="C257" s="17">
        <v>42.779434999999999</v>
      </c>
      <c r="D257" s="14">
        <v>31</v>
      </c>
      <c r="E257" s="14" t="s">
        <v>372</v>
      </c>
      <c r="F257" s="14" t="s">
        <v>359</v>
      </c>
      <c r="L257" s="14">
        <v>208</v>
      </c>
      <c r="M257" s="14">
        <v>2</v>
      </c>
      <c r="N257" s="14" t="s">
        <v>352</v>
      </c>
      <c r="O257" s="14" t="s">
        <v>355</v>
      </c>
      <c r="P257" s="14">
        <v>81</v>
      </c>
      <c r="Q257" s="14" t="str">
        <f t="shared" si="3"/>
        <v>Y</v>
      </c>
    </row>
    <row r="258" spans="1:17" s="14" customFormat="1" x14ac:dyDescent="0.25">
      <c r="A258" s="14" t="s">
        <v>211</v>
      </c>
      <c r="B258" s="17">
        <v>-76.279634999999999</v>
      </c>
      <c r="C258" s="17">
        <v>42.779223999999999</v>
      </c>
      <c r="D258" s="14">
        <v>31</v>
      </c>
      <c r="E258" s="14" t="s">
        <v>372</v>
      </c>
      <c r="F258" s="14" t="s">
        <v>359</v>
      </c>
      <c r="L258" s="14">
        <v>337</v>
      </c>
      <c r="M258" s="14">
        <v>2</v>
      </c>
      <c r="N258" s="14" t="s">
        <v>352</v>
      </c>
      <c r="O258" s="14" t="s">
        <v>355</v>
      </c>
      <c r="P258" s="14">
        <v>304</v>
      </c>
      <c r="Q258" s="14" t="str">
        <f t="shared" si="3"/>
        <v>Y</v>
      </c>
    </row>
    <row r="259" spans="1:17" s="14" customFormat="1" x14ac:dyDescent="0.25">
      <c r="A259" s="14" t="s">
        <v>212</v>
      </c>
      <c r="B259" s="17">
        <v>-76.271783999999997</v>
      </c>
      <c r="C259" s="17">
        <v>42.779494999999997</v>
      </c>
      <c r="D259" s="14">
        <v>38</v>
      </c>
      <c r="E259" s="14" t="s">
        <v>372</v>
      </c>
      <c r="F259" s="14" t="s">
        <v>359</v>
      </c>
      <c r="L259" s="14">
        <v>162</v>
      </c>
      <c r="M259" s="14">
        <v>2</v>
      </c>
      <c r="N259" s="14" t="s">
        <v>352</v>
      </c>
      <c r="O259" s="14" t="s">
        <v>355</v>
      </c>
      <c r="P259" s="14">
        <v>79</v>
      </c>
      <c r="Q259" s="14" t="str">
        <f t="shared" ref="Q259:Q322" si="4">IF(OR(M259&lt;&gt;"", I259&lt;&gt;""), "Y", "")</f>
        <v>Y</v>
      </c>
    </row>
    <row r="260" spans="1:17" s="14" customFormat="1" x14ac:dyDescent="0.25">
      <c r="A260" s="14" t="s">
        <v>213</v>
      </c>
      <c r="B260" s="17">
        <v>-76.279364000000001</v>
      </c>
      <c r="C260" s="17">
        <v>42.779197000000003</v>
      </c>
      <c r="D260" s="14">
        <v>38</v>
      </c>
      <c r="E260" s="14" t="s">
        <v>372</v>
      </c>
      <c r="F260" s="14" t="s">
        <v>359</v>
      </c>
      <c r="L260" s="14">
        <v>218</v>
      </c>
      <c r="M260" s="14">
        <v>2</v>
      </c>
      <c r="N260" s="14" t="s">
        <v>352</v>
      </c>
      <c r="O260" s="14" t="s">
        <v>355</v>
      </c>
      <c r="P260" s="14">
        <v>82</v>
      </c>
      <c r="Q260" s="14" t="str">
        <f t="shared" si="4"/>
        <v>Y</v>
      </c>
    </row>
    <row r="261" spans="1:17" s="14" customFormat="1" x14ac:dyDescent="0.25">
      <c r="A261" s="14" t="s">
        <v>214</v>
      </c>
      <c r="B261" s="17">
        <v>-76.273523999999995</v>
      </c>
      <c r="C261" s="17">
        <v>42.779429</v>
      </c>
      <c r="D261" s="14">
        <v>45</v>
      </c>
      <c r="E261" s="14" t="s">
        <v>372</v>
      </c>
      <c r="F261" s="14" t="s">
        <v>359</v>
      </c>
      <c r="L261" s="14">
        <v>146</v>
      </c>
      <c r="M261" s="14">
        <v>1</v>
      </c>
      <c r="N261" s="14" t="s">
        <v>352</v>
      </c>
      <c r="O261" s="14" t="s">
        <v>355</v>
      </c>
      <c r="P261" s="14">
        <v>48</v>
      </c>
      <c r="Q261" s="14" t="str">
        <f t="shared" si="4"/>
        <v>Y</v>
      </c>
    </row>
    <row r="262" spans="1:17" s="14" customFormat="1" x14ac:dyDescent="0.25">
      <c r="A262" s="14" t="s">
        <v>215</v>
      </c>
      <c r="B262" s="17">
        <v>-76.278535000000005</v>
      </c>
      <c r="C262" s="17">
        <v>42.779237000000002</v>
      </c>
      <c r="D262" s="14">
        <v>45</v>
      </c>
      <c r="E262" s="14" t="s">
        <v>372</v>
      </c>
      <c r="F262" s="14" t="s">
        <v>359</v>
      </c>
      <c r="L262" s="14">
        <v>40</v>
      </c>
      <c r="M262" s="14">
        <v>2</v>
      </c>
      <c r="N262" s="14" t="s">
        <v>352</v>
      </c>
      <c r="O262" s="14" t="s">
        <v>355</v>
      </c>
      <c r="P262" s="14">
        <v>19</v>
      </c>
      <c r="Q262" s="14" t="str">
        <f t="shared" si="4"/>
        <v>Y</v>
      </c>
    </row>
    <row r="263" spans="1:17" s="14" customFormat="1" x14ac:dyDescent="0.25">
      <c r="A263" s="14" t="s">
        <v>216</v>
      </c>
      <c r="B263" s="17">
        <v>-76.275875999999997</v>
      </c>
      <c r="C263" s="17">
        <v>42.779462000000002</v>
      </c>
      <c r="D263" s="14">
        <v>52</v>
      </c>
      <c r="E263" s="14" t="s">
        <v>372</v>
      </c>
      <c r="F263" s="14" t="s">
        <v>359</v>
      </c>
      <c r="L263" s="14">
        <v>27</v>
      </c>
      <c r="M263" s="14">
        <v>1</v>
      </c>
      <c r="N263" s="14" t="s">
        <v>352</v>
      </c>
      <c r="O263" s="14" t="s">
        <v>355</v>
      </c>
      <c r="P263" s="14">
        <v>20</v>
      </c>
      <c r="Q263" s="14" t="str">
        <f t="shared" si="4"/>
        <v>Y</v>
      </c>
    </row>
    <row r="264" spans="1:17" s="14" customFormat="1" x14ac:dyDescent="0.25">
      <c r="A264" s="14" t="s">
        <v>302</v>
      </c>
      <c r="B264" s="17">
        <v>-76.275875999999997</v>
      </c>
      <c r="C264" s="17">
        <v>42.779462000000002</v>
      </c>
      <c r="D264" s="14">
        <v>52</v>
      </c>
      <c r="E264" s="14" t="s">
        <v>372</v>
      </c>
      <c r="F264" s="14" t="s">
        <v>360</v>
      </c>
      <c r="L264" s="14">
        <v>64</v>
      </c>
      <c r="M264" s="14">
        <v>2</v>
      </c>
      <c r="N264" s="14" t="s">
        <v>352</v>
      </c>
      <c r="O264" s="14" t="s">
        <v>355</v>
      </c>
      <c r="Q264" s="14" t="str">
        <f t="shared" si="4"/>
        <v>Y</v>
      </c>
    </row>
    <row r="265" spans="1:17" s="14" customFormat="1" hidden="1" x14ac:dyDescent="0.25">
      <c r="A265" s="14" t="s">
        <v>59</v>
      </c>
      <c r="B265" s="17">
        <v>-76.278733000000003</v>
      </c>
      <c r="C265" s="17">
        <v>42.772502000000003</v>
      </c>
      <c r="D265" s="14">
        <v>1</v>
      </c>
      <c r="E265" s="14" t="s">
        <v>364</v>
      </c>
      <c r="F265" s="14" t="s">
        <v>359</v>
      </c>
      <c r="G265" s="14">
        <v>35</v>
      </c>
      <c r="H265" s="14">
        <v>1</v>
      </c>
      <c r="I265" s="14">
        <v>0</v>
      </c>
      <c r="J265" s="14" t="s">
        <v>352</v>
      </c>
      <c r="K265" s="14" t="s">
        <v>356</v>
      </c>
      <c r="P265" s="14">
        <v>26</v>
      </c>
      <c r="Q265" s="14" t="str">
        <f t="shared" si="4"/>
        <v>Y</v>
      </c>
    </row>
    <row r="266" spans="1:17" s="14" customFormat="1" hidden="1" x14ac:dyDescent="0.25">
      <c r="A266" s="14" t="s">
        <v>60</v>
      </c>
      <c r="B266" s="17">
        <v>-76.278733000000003</v>
      </c>
      <c r="C266" s="17">
        <v>42.772502000000003</v>
      </c>
      <c r="D266" s="14">
        <v>1</v>
      </c>
      <c r="E266" s="14" t="s">
        <v>364</v>
      </c>
      <c r="F266" s="14" t="s">
        <v>360</v>
      </c>
      <c r="G266" s="14">
        <v>31</v>
      </c>
      <c r="H266" s="14">
        <v>76</v>
      </c>
      <c r="I266" s="14">
        <v>1</v>
      </c>
      <c r="J266" s="14" t="s">
        <v>352</v>
      </c>
      <c r="K266" s="14" t="s">
        <v>355</v>
      </c>
      <c r="Q266" s="14" t="str">
        <f t="shared" si="4"/>
        <v>Y</v>
      </c>
    </row>
    <row r="267" spans="1:17" s="14" customFormat="1" hidden="1" x14ac:dyDescent="0.25">
      <c r="A267" s="14" t="s">
        <v>61</v>
      </c>
      <c r="B267" s="17">
        <v>-76.278706</v>
      </c>
      <c r="C267" s="17">
        <v>42.772680000000001</v>
      </c>
      <c r="D267" s="14">
        <v>2</v>
      </c>
      <c r="E267" s="14" t="s">
        <v>364</v>
      </c>
      <c r="F267" s="14" t="s">
        <v>359</v>
      </c>
      <c r="G267" s="14">
        <v>29</v>
      </c>
      <c r="H267" s="14">
        <v>17</v>
      </c>
      <c r="I267" s="14">
        <v>0</v>
      </c>
      <c r="J267" s="14" t="s">
        <v>352</v>
      </c>
      <c r="K267" s="14" t="s">
        <v>356</v>
      </c>
      <c r="P267" s="14">
        <v>47</v>
      </c>
      <c r="Q267" s="14" t="str">
        <f t="shared" si="4"/>
        <v>Y</v>
      </c>
    </row>
    <row r="268" spans="1:17" s="14" customFormat="1" hidden="1" x14ac:dyDescent="0.25">
      <c r="A268" s="14" t="s">
        <v>62</v>
      </c>
      <c r="B268" s="17">
        <v>-76.278328000000002</v>
      </c>
      <c r="C268" s="17">
        <v>42.772382999999998</v>
      </c>
      <c r="D268" s="14">
        <v>3</v>
      </c>
      <c r="E268" s="14" t="s">
        <v>364</v>
      </c>
      <c r="F268" s="14" t="s">
        <v>359</v>
      </c>
      <c r="G268" s="14">
        <v>154</v>
      </c>
      <c r="H268" s="14">
        <v>0</v>
      </c>
      <c r="I268" s="14">
        <v>0</v>
      </c>
      <c r="J268" s="14" t="s">
        <v>352</v>
      </c>
      <c r="K268" s="14" t="s">
        <v>356</v>
      </c>
      <c r="P268" s="14">
        <v>25</v>
      </c>
      <c r="Q268" s="14" t="str">
        <f t="shared" si="4"/>
        <v>Y</v>
      </c>
    </row>
    <row r="269" spans="1:17" s="14" customFormat="1" hidden="1" x14ac:dyDescent="0.25">
      <c r="A269" s="14" t="s">
        <v>63</v>
      </c>
      <c r="B269" s="17">
        <v>-76.275191000000007</v>
      </c>
      <c r="C269" s="17">
        <v>42.772297000000002</v>
      </c>
      <c r="D269" s="14">
        <v>5</v>
      </c>
      <c r="E269" s="14" t="s">
        <v>364</v>
      </c>
      <c r="F269" s="14" t="s">
        <v>359</v>
      </c>
      <c r="G269" s="14">
        <v>46</v>
      </c>
      <c r="H269" s="14">
        <v>0</v>
      </c>
      <c r="I269" s="14">
        <v>0</v>
      </c>
      <c r="J269" s="14" t="s">
        <v>352</v>
      </c>
      <c r="K269" s="14" t="s">
        <v>356</v>
      </c>
      <c r="P269" s="14">
        <v>151</v>
      </c>
      <c r="Q269" s="14" t="str">
        <f t="shared" si="4"/>
        <v>Y</v>
      </c>
    </row>
    <row r="270" spans="1:17" s="14" customFormat="1" hidden="1" x14ac:dyDescent="0.25">
      <c r="A270" s="14" t="s">
        <v>64</v>
      </c>
      <c r="B270" s="17">
        <v>-76.275191000000007</v>
      </c>
      <c r="C270" s="17">
        <v>42.772297000000002</v>
      </c>
      <c r="D270" s="14">
        <v>5</v>
      </c>
      <c r="E270" s="14" t="s">
        <v>364</v>
      </c>
      <c r="F270" s="14" t="s">
        <v>360</v>
      </c>
      <c r="G270" s="14">
        <v>134</v>
      </c>
      <c r="H270" s="14">
        <v>8</v>
      </c>
      <c r="I270" s="14">
        <v>0</v>
      </c>
      <c r="J270" s="14" t="s">
        <v>352</v>
      </c>
      <c r="K270" s="14" t="s">
        <v>354</v>
      </c>
      <c r="P270" s="14">
        <v>229</v>
      </c>
      <c r="Q270" s="14" t="str">
        <f t="shared" si="4"/>
        <v>Y</v>
      </c>
    </row>
    <row r="271" spans="1:17" s="14" customFormat="1" hidden="1" x14ac:dyDescent="0.25">
      <c r="A271" s="14" t="s">
        <v>65</v>
      </c>
      <c r="B271" s="17">
        <v>-76.275642000000005</v>
      </c>
      <c r="C271" s="17">
        <v>42.772171</v>
      </c>
      <c r="D271" s="14">
        <v>5</v>
      </c>
      <c r="E271" s="14" t="s">
        <v>364</v>
      </c>
      <c r="F271" s="14" t="s">
        <v>359</v>
      </c>
      <c r="G271" s="14">
        <v>216</v>
      </c>
      <c r="H271" s="14">
        <v>74</v>
      </c>
      <c r="I271" s="14">
        <v>1</v>
      </c>
      <c r="J271" s="14" t="s">
        <v>352</v>
      </c>
      <c r="K271" s="14" t="s">
        <v>353</v>
      </c>
      <c r="P271" s="14">
        <v>72</v>
      </c>
      <c r="Q271" s="14" t="str">
        <f t="shared" si="4"/>
        <v>Y</v>
      </c>
    </row>
    <row r="272" spans="1:17" s="14" customFormat="1" hidden="1" x14ac:dyDescent="0.25">
      <c r="A272" s="14" t="s">
        <v>66</v>
      </c>
      <c r="B272" s="17">
        <v>-76.275642000000005</v>
      </c>
      <c r="C272" s="17">
        <v>42.772171</v>
      </c>
      <c r="D272" s="14">
        <v>5</v>
      </c>
      <c r="E272" s="14" t="s">
        <v>364</v>
      </c>
      <c r="F272" s="14" t="s">
        <v>360</v>
      </c>
      <c r="G272" s="14">
        <v>290</v>
      </c>
      <c r="H272" s="14">
        <v>6</v>
      </c>
      <c r="I272" s="14">
        <v>0</v>
      </c>
      <c r="J272" s="14" t="s">
        <v>352</v>
      </c>
      <c r="K272" s="14" t="s">
        <v>356</v>
      </c>
      <c r="P272" s="14">
        <v>96</v>
      </c>
      <c r="Q272" s="14" t="str">
        <f t="shared" si="4"/>
        <v>Y</v>
      </c>
    </row>
    <row r="273" spans="1:17" s="14" customFormat="1" hidden="1" x14ac:dyDescent="0.25">
      <c r="A273" s="14" t="s">
        <v>67</v>
      </c>
      <c r="B273" s="17">
        <v>-76.421757999999997</v>
      </c>
      <c r="C273" s="17">
        <v>42.942070000000001</v>
      </c>
      <c r="D273" s="14">
        <v>1</v>
      </c>
      <c r="E273" s="14" t="s">
        <v>365</v>
      </c>
      <c r="F273" s="14" t="s">
        <v>359</v>
      </c>
      <c r="G273" s="14">
        <v>5</v>
      </c>
      <c r="H273" s="14">
        <v>13</v>
      </c>
      <c r="I273" s="14">
        <v>0</v>
      </c>
      <c r="J273" s="14" t="s">
        <v>357</v>
      </c>
      <c r="K273" s="14" t="s">
        <v>355</v>
      </c>
      <c r="P273" s="14">
        <v>0</v>
      </c>
      <c r="Q273" s="14" t="str">
        <f t="shared" si="4"/>
        <v>Y</v>
      </c>
    </row>
    <row r="274" spans="1:17" s="14" customFormat="1" hidden="1" x14ac:dyDescent="0.25">
      <c r="A274" s="14" t="s">
        <v>68</v>
      </c>
      <c r="B274" s="17">
        <v>-76.421757999999997</v>
      </c>
      <c r="C274" s="17">
        <v>42.942070000000001</v>
      </c>
      <c r="D274" s="14">
        <v>1</v>
      </c>
      <c r="E274" s="14" t="s">
        <v>365</v>
      </c>
      <c r="F274" s="14" t="s">
        <v>360</v>
      </c>
      <c r="G274" s="14">
        <v>43</v>
      </c>
      <c r="H274" s="14">
        <v>8</v>
      </c>
      <c r="I274" s="14">
        <v>0</v>
      </c>
      <c r="J274" s="14" t="s">
        <v>357</v>
      </c>
      <c r="K274" s="14" t="s">
        <v>355</v>
      </c>
      <c r="Q274" s="14" t="str">
        <f t="shared" si="4"/>
        <v>Y</v>
      </c>
    </row>
    <row r="275" spans="1:17" s="14" customFormat="1" hidden="1" x14ac:dyDescent="0.25">
      <c r="A275" s="14" t="s">
        <v>69</v>
      </c>
      <c r="B275" s="17">
        <v>-76.421947000000003</v>
      </c>
      <c r="C275" s="17">
        <v>42.941892000000003</v>
      </c>
      <c r="D275" s="14">
        <v>2</v>
      </c>
      <c r="E275" s="14" t="s">
        <v>365</v>
      </c>
      <c r="F275" s="14" t="s">
        <v>359</v>
      </c>
      <c r="G275" s="14">
        <v>157</v>
      </c>
      <c r="H275" s="14">
        <v>59</v>
      </c>
      <c r="I275" s="14">
        <v>0</v>
      </c>
      <c r="J275" s="14" t="s">
        <v>357</v>
      </c>
      <c r="K275" s="14" t="s">
        <v>354</v>
      </c>
      <c r="P275" s="14">
        <v>1</v>
      </c>
      <c r="Q275" s="14" t="str">
        <f t="shared" si="4"/>
        <v>Y</v>
      </c>
    </row>
    <row r="276" spans="1:17" s="14" customFormat="1" hidden="1" x14ac:dyDescent="0.25">
      <c r="A276" s="14" t="s">
        <v>70</v>
      </c>
      <c r="B276" s="17">
        <v>-76.421947000000003</v>
      </c>
      <c r="C276" s="17">
        <v>42.941892000000003</v>
      </c>
      <c r="D276" s="14">
        <v>2</v>
      </c>
      <c r="E276" s="14" t="s">
        <v>365</v>
      </c>
      <c r="F276" s="14" t="s">
        <v>360</v>
      </c>
      <c r="G276" s="14">
        <v>25</v>
      </c>
      <c r="H276" s="14">
        <v>31</v>
      </c>
      <c r="I276" s="14">
        <v>1</v>
      </c>
      <c r="J276" s="14" t="s">
        <v>357</v>
      </c>
      <c r="K276" s="14" t="s">
        <v>355</v>
      </c>
      <c r="Q276" s="14" t="str">
        <f t="shared" si="4"/>
        <v>Y</v>
      </c>
    </row>
    <row r="277" spans="1:17" s="14" customFormat="1" hidden="1" x14ac:dyDescent="0.25">
      <c r="A277" s="14" t="s">
        <v>71</v>
      </c>
      <c r="B277" s="17">
        <v>-76.423767499999997</v>
      </c>
      <c r="C277" s="17">
        <v>42.941133000000001</v>
      </c>
      <c r="D277" s="14">
        <v>3</v>
      </c>
      <c r="E277" s="14" t="s">
        <v>365</v>
      </c>
      <c r="F277" s="14" t="s">
        <v>359</v>
      </c>
      <c r="G277" s="14">
        <v>125</v>
      </c>
      <c r="H277" s="14">
        <v>8</v>
      </c>
      <c r="I277" s="14">
        <v>0</v>
      </c>
      <c r="J277" s="14" t="s">
        <v>352</v>
      </c>
      <c r="K277" s="14" t="s">
        <v>354</v>
      </c>
      <c r="P277" s="14">
        <v>67</v>
      </c>
      <c r="Q277" s="14" t="str">
        <f t="shared" si="4"/>
        <v>Y</v>
      </c>
    </row>
    <row r="278" spans="1:17" s="14" customFormat="1" hidden="1" x14ac:dyDescent="0.25">
      <c r="A278" s="14" t="s">
        <v>72</v>
      </c>
      <c r="B278" s="17">
        <v>-76.422162999999998</v>
      </c>
      <c r="C278" s="17">
        <v>42.941760000000002</v>
      </c>
      <c r="D278" s="14">
        <v>3</v>
      </c>
      <c r="E278" s="14" t="s">
        <v>365</v>
      </c>
      <c r="F278" s="14" t="s">
        <v>360</v>
      </c>
      <c r="G278" s="14">
        <v>185</v>
      </c>
      <c r="H278" s="14">
        <v>31</v>
      </c>
      <c r="I278" s="14">
        <v>0</v>
      </c>
      <c r="J278" s="14" t="s">
        <v>352</v>
      </c>
      <c r="K278" s="14" t="s">
        <v>354</v>
      </c>
      <c r="P278" s="14">
        <v>87</v>
      </c>
      <c r="Q278" s="14" t="str">
        <f t="shared" si="4"/>
        <v>Y</v>
      </c>
    </row>
    <row r="279" spans="1:17" s="14" customFormat="1" hidden="1" x14ac:dyDescent="0.25">
      <c r="A279" s="14" t="s">
        <v>73</v>
      </c>
      <c r="B279" s="17">
        <v>-76.422162999999998</v>
      </c>
      <c r="C279" s="17">
        <v>42.941760000000002</v>
      </c>
      <c r="D279" s="14">
        <v>3</v>
      </c>
      <c r="E279" s="14" t="s">
        <v>365</v>
      </c>
      <c r="F279" s="14" t="s">
        <v>366</v>
      </c>
      <c r="G279" s="14">
        <v>18</v>
      </c>
      <c r="H279" s="14">
        <v>7</v>
      </c>
      <c r="I279" s="14">
        <v>0</v>
      </c>
      <c r="J279" s="14" t="s">
        <v>352</v>
      </c>
      <c r="K279" s="14" t="s">
        <v>353</v>
      </c>
      <c r="P279" s="14">
        <v>2</v>
      </c>
      <c r="Q279" s="14" t="str">
        <f t="shared" si="4"/>
        <v>Y</v>
      </c>
    </row>
    <row r="280" spans="1:17" s="14" customFormat="1" x14ac:dyDescent="0.25">
      <c r="A280" s="14" t="s">
        <v>217</v>
      </c>
      <c r="B280" s="17">
        <v>-76.414203999999998</v>
      </c>
      <c r="C280" s="17">
        <v>42.902982999999999</v>
      </c>
      <c r="D280" s="14">
        <v>21</v>
      </c>
      <c r="E280" s="14" t="s">
        <v>373</v>
      </c>
      <c r="F280" s="14" t="s">
        <v>359</v>
      </c>
      <c r="L280" s="14">
        <v>144</v>
      </c>
      <c r="M280" s="14">
        <v>2</v>
      </c>
      <c r="N280" s="14" t="s">
        <v>352</v>
      </c>
      <c r="O280" s="14" t="s">
        <v>355</v>
      </c>
      <c r="P280" s="14">
        <v>85</v>
      </c>
      <c r="Q280" s="14" t="str">
        <f t="shared" si="4"/>
        <v>Y</v>
      </c>
    </row>
    <row r="281" spans="1:17" s="14" customFormat="1" x14ac:dyDescent="0.25">
      <c r="A281" s="14" t="s">
        <v>303</v>
      </c>
      <c r="B281" s="17">
        <v>-76.414203999999998</v>
      </c>
      <c r="C281" s="17">
        <v>42.902982999999999</v>
      </c>
      <c r="D281" s="14">
        <v>21</v>
      </c>
      <c r="E281" s="14" t="s">
        <v>373</v>
      </c>
      <c r="F281" s="14" t="s">
        <v>360</v>
      </c>
      <c r="L281" s="14">
        <v>313</v>
      </c>
      <c r="M281" s="14">
        <v>1</v>
      </c>
      <c r="N281" s="14" t="s">
        <v>352</v>
      </c>
      <c r="O281" s="14" t="s">
        <v>355</v>
      </c>
      <c r="Q281" s="14" t="str">
        <f t="shared" si="4"/>
        <v>Y</v>
      </c>
    </row>
    <row r="282" spans="1:17" s="14" customFormat="1" x14ac:dyDescent="0.25">
      <c r="A282" s="14" t="s">
        <v>218</v>
      </c>
      <c r="B282" s="17">
        <v>-76.413736</v>
      </c>
      <c r="C282" s="17">
        <v>42.901980000000002</v>
      </c>
      <c r="D282" s="14">
        <v>24</v>
      </c>
      <c r="E282" s="14" t="s">
        <v>373</v>
      </c>
      <c r="F282" s="14" t="s">
        <v>359</v>
      </c>
      <c r="L282" s="14">
        <v>177</v>
      </c>
      <c r="M282" s="14">
        <v>2</v>
      </c>
      <c r="N282" s="14" t="s">
        <v>352</v>
      </c>
      <c r="O282" s="14" t="s">
        <v>355</v>
      </c>
      <c r="P282" s="14">
        <v>78</v>
      </c>
      <c r="Q282" s="14" t="str">
        <f t="shared" si="4"/>
        <v>Y</v>
      </c>
    </row>
    <row r="283" spans="1:17" s="14" customFormat="1" x14ac:dyDescent="0.25">
      <c r="A283" s="14" t="s">
        <v>304</v>
      </c>
      <c r="B283" s="17">
        <v>-76.413736</v>
      </c>
      <c r="C283" s="17">
        <v>42.901980000000002</v>
      </c>
      <c r="D283" s="14">
        <v>24</v>
      </c>
      <c r="E283" s="14" t="s">
        <v>373</v>
      </c>
      <c r="F283" s="14" t="s">
        <v>360</v>
      </c>
      <c r="L283" s="14">
        <v>225</v>
      </c>
      <c r="M283" s="14">
        <v>2</v>
      </c>
      <c r="N283" s="14" t="s">
        <v>352</v>
      </c>
      <c r="O283" s="14" t="s">
        <v>355</v>
      </c>
      <c r="Q283" s="14" t="str">
        <f t="shared" si="4"/>
        <v>Y</v>
      </c>
    </row>
    <row r="284" spans="1:17" s="14" customFormat="1" x14ac:dyDescent="0.25">
      <c r="A284" s="14" t="s">
        <v>219</v>
      </c>
      <c r="B284" s="17">
        <v>-76.413383999999994</v>
      </c>
      <c r="C284" s="17">
        <v>42.901868</v>
      </c>
      <c r="D284" s="14">
        <v>28</v>
      </c>
      <c r="E284" s="14" t="s">
        <v>373</v>
      </c>
      <c r="F284" s="14" t="s">
        <v>359</v>
      </c>
      <c r="L284" s="14">
        <v>154</v>
      </c>
      <c r="M284" s="14">
        <v>2</v>
      </c>
      <c r="N284" s="14" t="s">
        <v>352</v>
      </c>
      <c r="O284" s="14" t="s">
        <v>355</v>
      </c>
      <c r="P284" s="14">
        <v>55</v>
      </c>
      <c r="Q284" s="14" t="str">
        <f t="shared" si="4"/>
        <v>Y</v>
      </c>
    </row>
    <row r="285" spans="1:17" s="14" customFormat="1" x14ac:dyDescent="0.25">
      <c r="A285" s="14" t="s">
        <v>305</v>
      </c>
      <c r="B285" s="17">
        <v>-76.413383999999994</v>
      </c>
      <c r="C285" s="17">
        <v>42.901868</v>
      </c>
      <c r="D285" s="14">
        <v>28</v>
      </c>
      <c r="E285" s="14" t="s">
        <v>373</v>
      </c>
      <c r="F285" s="14" t="s">
        <v>360</v>
      </c>
      <c r="L285" s="14">
        <v>144</v>
      </c>
      <c r="M285" s="14">
        <v>1</v>
      </c>
      <c r="N285" s="14" t="s">
        <v>352</v>
      </c>
      <c r="O285" s="14" t="s">
        <v>355</v>
      </c>
      <c r="Q285" s="14" t="str">
        <f t="shared" si="4"/>
        <v>Y</v>
      </c>
    </row>
    <row r="286" spans="1:17" s="14" customFormat="1" x14ac:dyDescent="0.25">
      <c r="A286" s="14" t="s">
        <v>220</v>
      </c>
      <c r="B286" s="17">
        <v>-76.413177000000005</v>
      </c>
      <c r="C286" s="17">
        <v>42.902554000000002</v>
      </c>
      <c r="D286" s="14">
        <v>29</v>
      </c>
      <c r="E286" s="14" t="s">
        <v>373</v>
      </c>
      <c r="F286" s="14" t="s">
        <v>359</v>
      </c>
      <c r="L286" s="14">
        <v>311</v>
      </c>
      <c r="M286" s="14">
        <v>2</v>
      </c>
      <c r="N286" s="14" t="s">
        <v>352</v>
      </c>
      <c r="O286" s="14" t="s">
        <v>355</v>
      </c>
      <c r="P286" s="14">
        <v>140</v>
      </c>
      <c r="Q286" s="14" t="str">
        <f t="shared" si="4"/>
        <v>Y</v>
      </c>
    </row>
    <row r="287" spans="1:17" s="14" customFormat="1" x14ac:dyDescent="0.25">
      <c r="A287" s="14" t="s">
        <v>221</v>
      </c>
      <c r="B287" s="17">
        <v>-76.412924000000004</v>
      </c>
      <c r="C287" s="17">
        <v>42.902171000000003</v>
      </c>
      <c r="D287" s="14">
        <v>32</v>
      </c>
      <c r="E287" s="14" t="s">
        <v>373</v>
      </c>
      <c r="F287" s="14" t="s">
        <v>359</v>
      </c>
      <c r="L287" s="14">
        <v>139</v>
      </c>
      <c r="M287" s="14">
        <v>2</v>
      </c>
      <c r="N287" s="14" t="s">
        <v>352</v>
      </c>
      <c r="O287" s="14" t="s">
        <v>355</v>
      </c>
      <c r="P287" s="14">
        <v>56</v>
      </c>
      <c r="Q287" s="14" t="str">
        <f t="shared" si="4"/>
        <v>Y</v>
      </c>
    </row>
    <row r="288" spans="1:17" s="14" customFormat="1" x14ac:dyDescent="0.25">
      <c r="A288" s="14" t="s">
        <v>222</v>
      </c>
      <c r="B288" s="17">
        <v>-76.412482999999995</v>
      </c>
      <c r="C288" s="17">
        <v>42.90025</v>
      </c>
      <c r="D288" s="14">
        <v>35</v>
      </c>
      <c r="E288" s="14" t="s">
        <v>373</v>
      </c>
      <c r="F288" s="14" t="s">
        <v>359</v>
      </c>
      <c r="L288" s="14">
        <v>149</v>
      </c>
      <c r="M288" s="14">
        <v>2</v>
      </c>
      <c r="N288" s="14" t="s">
        <v>352</v>
      </c>
      <c r="O288" s="14" t="s">
        <v>355</v>
      </c>
      <c r="P288" s="14">
        <v>61</v>
      </c>
      <c r="Q288" s="14" t="str">
        <f t="shared" si="4"/>
        <v>Y</v>
      </c>
    </row>
    <row r="289" spans="1:17" s="14" customFormat="1" x14ac:dyDescent="0.25">
      <c r="A289" s="14" t="s">
        <v>306</v>
      </c>
      <c r="B289" s="17">
        <v>-76.401287999999994</v>
      </c>
      <c r="C289" s="17">
        <v>42.867610999999997</v>
      </c>
      <c r="D289" s="14">
        <v>3</v>
      </c>
      <c r="E289" s="14" t="s">
        <v>374</v>
      </c>
      <c r="F289" s="14" t="s">
        <v>359</v>
      </c>
      <c r="L289" s="14">
        <v>398</v>
      </c>
      <c r="M289" s="14">
        <v>2</v>
      </c>
      <c r="N289" s="14" t="s">
        <v>357</v>
      </c>
      <c r="O289" s="14" t="s">
        <v>355</v>
      </c>
      <c r="Q289" s="14" t="str">
        <f t="shared" si="4"/>
        <v>Y</v>
      </c>
    </row>
    <row r="290" spans="1:17" s="14" customFormat="1" x14ac:dyDescent="0.25">
      <c r="A290" s="14" t="s">
        <v>307</v>
      </c>
      <c r="B290" s="17">
        <v>-76.401324000000002</v>
      </c>
      <c r="C290" s="17">
        <v>42.867069000000001</v>
      </c>
      <c r="D290" s="14">
        <v>3</v>
      </c>
      <c r="E290" s="14" t="s">
        <v>374</v>
      </c>
      <c r="F290" s="14" t="s">
        <v>360</v>
      </c>
      <c r="L290" s="14">
        <v>133</v>
      </c>
      <c r="M290" s="14">
        <v>1</v>
      </c>
      <c r="N290" s="14" t="s">
        <v>357</v>
      </c>
      <c r="O290" s="14" t="s">
        <v>381</v>
      </c>
      <c r="Q290" s="14" t="str">
        <f t="shared" si="4"/>
        <v>Y</v>
      </c>
    </row>
    <row r="291" spans="1:17" s="14" customFormat="1" x14ac:dyDescent="0.25">
      <c r="A291" s="14" t="s">
        <v>308</v>
      </c>
      <c r="B291" s="17">
        <v>-76.400630000000007</v>
      </c>
      <c r="C291" s="17">
        <v>42.867089</v>
      </c>
      <c r="D291" s="14">
        <v>5</v>
      </c>
      <c r="E291" s="14" t="s">
        <v>374</v>
      </c>
      <c r="F291" s="14" t="s">
        <v>359</v>
      </c>
      <c r="L291" s="14">
        <v>251</v>
      </c>
      <c r="M291" s="14">
        <v>2</v>
      </c>
      <c r="N291" s="14" t="s">
        <v>357</v>
      </c>
      <c r="O291" s="14" t="s">
        <v>355</v>
      </c>
      <c r="Q291" s="14" t="str">
        <f t="shared" si="4"/>
        <v>Y</v>
      </c>
    </row>
    <row r="292" spans="1:17" s="14" customFormat="1" x14ac:dyDescent="0.25">
      <c r="A292" s="14" t="s">
        <v>309</v>
      </c>
      <c r="B292" s="17">
        <v>-76.400972999999993</v>
      </c>
      <c r="C292" s="17">
        <v>42.867657000000001</v>
      </c>
      <c r="D292" s="14">
        <v>5</v>
      </c>
      <c r="E292" s="14" t="s">
        <v>374</v>
      </c>
      <c r="F292" s="14" t="s">
        <v>360</v>
      </c>
      <c r="L292" s="14">
        <v>126</v>
      </c>
      <c r="M292" s="14">
        <v>2</v>
      </c>
      <c r="N292" s="14" t="s">
        <v>357</v>
      </c>
      <c r="O292" s="14" t="s">
        <v>355</v>
      </c>
      <c r="Q292" s="14" t="str">
        <f t="shared" si="4"/>
        <v>Y</v>
      </c>
    </row>
    <row r="293" spans="1:17" s="14" customFormat="1" x14ac:dyDescent="0.25">
      <c r="A293" s="14" t="s">
        <v>310</v>
      </c>
      <c r="B293" s="17">
        <v>-76.399404000000004</v>
      </c>
      <c r="C293" s="17">
        <v>42.865985999999999</v>
      </c>
      <c r="D293" s="14">
        <v>8</v>
      </c>
      <c r="E293" s="14" t="s">
        <v>374</v>
      </c>
      <c r="F293" s="14" t="s">
        <v>359</v>
      </c>
      <c r="L293" s="14">
        <v>344</v>
      </c>
      <c r="M293" s="14">
        <v>2</v>
      </c>
      <c r="N293" s="14" t="s">
        <v>352</v>
      </c>
      <c r="O293" s="14" t="s">
        <v>355</v>
      </c>
      <c r="Q293" s="14" t="str">
        <f t="shared" si="4"/>
        <v>Y</v>
      </c>
    </row>
    <row r="294" spans="1:17" s="14" customFormat="1" x14ac:dyDescent="0.25">
      <c r="A294" s="14" t="s">
        <v>337</v>
      </c>
      <c r="B294" s="17">
        <v>-76.398954000000003</v>
      </c>
      <c r="C294" s="17">
        <v>42.86551</v>
      </c>
      <c r="D294" s="14">
        <v>8</v>
      </c>
      <c r="E294" s="14" t="s">
        <v>374</v>
      </c>
      <c r="F294" s="14" t="s">
        <v>360</v>
      </c>
      <c r="L294" s="14">
        <v>0</v>
      </c>
      <c r="M294" s="14">
        <v>0</v>
      </c>
      <c r="N294" s="14" t="s">
        <v>352</v>
      </c>
      <c r="O294" s="14" t="s">
        <v>353</v>
      </c>
      <c r="Q294" s="14" t="str">
        <f t="shared" si="4"/>
        <v>Y</v>
      </c>
    </row>
    <row r="295" spans="1:17" s="14" customFormat="1" x14ac:dyDescent="0.25">
      <c r="A295" s="14" t="s">
        <v>223</v>
      </c>
      <c r="B295" s="17">
        <v>-76.358096539069706</v>
      </c>
      <c r="C295" s="17">
        <v>42.861042438565697</v>
      </c>
      <c r="D295" s="14">
        <v>1</v>
      </c>
      <c r="E295" s="14" t="s">
        <v>375</v>
      </c>
      <c r="F295" s="14" t="s">
        <v>359</v>
      </c>
      <c r="L295" s="14">
        <v>21</v>
      </c>
      <c r="M295" s="14">
        <v>1</v>
      </c>
      <c r="N295" s="14" t="s">
        <v>352</v>
      </c>
      <c r="O295" s="14" t="s">
        <v>354</v>
      </c>
      <c r="P295" s="14">
        <v>1</v>
      </c>
      <c r="Q295" s="14" t="str">
        <f t="shared" si="4"/>
        <v>Y</v>
      </c>
    </row>
    <row r="296" spans="1:17" s="14" customFormat="1" x14ac:dyDescent="0.25">
      <c r="A296" s="14" t="s">
        <v>339</v>
      </c>
      <c r="B296" s="17">
        <v>-76.358096539069706</v>
      </c>
      <c r="C296" s="17">
        <v>42.861042438565697</v>
      </c>
      <c r="D296" s="14">
        <v>1</v>
      </c>
      <c r="E296" s="14" t="s">
        <v>375</v>
      </c>
      <c r="F296" s="14" t="s">
        <v>360</v>
      </c>
      <c r="L296" s="14">
        <v>24</v>
      </c>
      <c r="M296" s="14">
        <v>0</v>
      </c>
      <c r="N296" s="14" t="s">
        <v>352</v>
      </c>
      <c r="O296" s="14" t="s">
        <v>355</v>
      </c>
      <c r="Q296" s="14" t="str">
        <f t="shared" si="4"/>
        <v>Y</v>
      </c>
    </row>
    <row r="297" spans="1:17" s="14" customFormat="1" x14ac:dyDescent="0.25">
      <c r="A297" s="14" t="s">
        <v>311</v>
      </c>
      <c r="B297" s="17">
        <v>-76.358186000000003</v>
      </c>
      <c r="C297" s="17">
        <v>42.860899000000003</v>
      </c>
      <c r="D297" s="14">
        <v>2</v>
      </c>
      <c r="E297" s="14" t="s">
        <v>375</v>
      </c>
      <c r="F297" s="14" t="s">
        <v>359</v>
      </c>
      <c r="L297" s="14">
        <v>87</v>
      </c>
      <c r="M297" s="14">
        <v>0</v>
      </c>
      <c r="N297" s="14" t="s">
        <v>357</v>
      </c>
      <c r="O297" s="14" t="s">
        <v>355</v>
      </c>
      <c r="Q297" s="14" t="str">
        <f t="shared" si="4"/>
        <v>Y</v>
      </c>
    </row>
    <row r="298" spans="1:17" s="14" customFormat="1" x14ac:dyDescent="0.25">
      <c r="A298" s="14" t="s">
        <v>338</v>
      </c>
      <c r="B298" s="17">
        <v>-76.358186000000003</v>
      </c>
      <c r="C298" s="17">
        <v>42.860899000000003</v>
      </c>
      <c r="D298" s="14">
        <v>2</v>
      </c>
      <c r="E298" s="14" t="s">
        <v>375</v>
      </c>
      <c r="F298" s="14" t="s">
        <v>360</v>
      </c>
      <c r="L298" s="14">
        <v>36</v>
      </c>
      <c r="M298" s="14">
        <v>0</v>
      </c>
      <c r="N298" s="14" t="s">
        <v>357</v>
      </c>
      <c r="O298" s="14" t="s">
        <v>355</v>
      </c>
      <c r="Q298" s="14" t="str">
        <f t="shared" si="4"/>
        <v>Y</v>
      </c>
    </row>
    <row r="299" spans="1:17" s="14" customFormat="1" hidden="1" x14ac:dyDescent="0.25">
      <c r="A299" s="14" t="s">
        <v>224</v>
      </c>
      <c r="B299" s="17">
        <v>-76.358942999999996</v>
      </c>
      <c r="C299" s="17">
        <v>42.860548999999999</v>
      </c>
      <c r="D299" s="14">
        <v>6</v>
      </c>
      <c r="E299" s="14" t="s">
        <v>375</v>
      </c>
      <c r="F299" s="14" t="s">
        <v>359</v>
      </c>
      <c r="P299" s="14">
        <v>98</v>
      </c>
      <c r="Q299" s="14" t="str">
        <f t="shared" si="4"/>
        <v/>
      </c>
    </row>
    <row r="300" spans="1:17" s="14" customFormat="1" hidden="1" x14ac:dyDescent="0.25">
      <c r="A300" s="14" t="s">
        <v>225</v>
      </c>
      <c r="B300" s="17">
        <v>-76.401138064722403</v>
      </c>
      <c r="C300" s="17">
        <v>42.901185842350301</v>
      </c>
      <c r="D300" s="14">
        <v>54</v>
      </c>
      <c r="E300" s="14" t="s">
        <v>375</v>
      </c>
      <c r="F300" s="14" t="s">
        <v>359</v>
      </c>
      <c r="P300" s="14">
        <v>5</v>
      </c>
      <c r="Q300" s="14" t="str">
        <f t="shared" si="4"/>
        <v/>
      </c>
    </row>
    <row r="301" spans="1:17" s="14" customFormat="1" hidden="1" x14ac:dyDescent="0.25">
      <c r="A301" s="14" t="s">
        <v>226</v>
      </c>
      <c r="B301" s="17">
        <v>-76.401138064722403</v>
      </c>
      <c r="C301" s="17">
        <v>42.901185842350301</v>
      </c>
      <c r="D301" s="14">
        <v>54</v>
      </c>
      <c r="E301" s="14" t="s">
        <v>375</v>
      </c>
      <c r="F301" s="14" t="s">
        <v>360</v>
      </c>
      <c r="P301" s="14">
        <v>40</v>
      </c>
      <c r="Q301" s="14" t="str">
        <f t="shared" si="4"/>
        <v/>
      </c>
    </row>
    <row r="302" spans="1:17" s="14" customFormat="1" hidden="1" x14ac:dyDescent="0.25">
      <c r="A302" s="14" t="s">
        <v>227</v>
      </c>
      <c r="B302" s="17">
        <v>-76.401138064722403</v>
      </c>
      <c r="C302" s="17">
        <v>42.901185842350301</v>
      </c>
      <c r="D302" s="14">
        <v>54</v>
      </c>
      <c r="E302" s="14" t="s">
        <v>375</v>
      </c>
      <c r="F302" s="14" t="s">
        <v>366</v>
      </c>
      <c r="P302" s="14">
        <v>24</v>
      </c>
      <c r="Q302" s="14" t="str">
        <f t="shared" si="4"/>
        <v/>
      </c>
    </row>
    <row r="303" spans="1:17" s="14" customFormat="1" x14ac:dyDescent="0.25">
      <c r="A303" s="14" t="s">
        <v>228</v>
      </c>
      <c r="B303" s="17">
        <v>-76.300274999999999</v>
      </c>
      <c r="C303" s="17">
        <v>42.816490999999999</v>
      </c>
      <c r="D303" s="14">
        <v>1</v>
      </c>
      <c r="E303" s="14" t="s">
        <v>376</v>
      </c>
      <c r="F303" s="14" t="s">
        <v>359</v>
      </c>
      <c r="L303" s="14">
        <v>86</v>
      </c>
      <c r="M303" s="14">
        <v>1</v>
      </c>
      <c r="N303" s="14" t="s">
        <v>357</v>
      </c>
      <c r="O303" s="14" t="s">
        <v>355</v>
      </c>
      <c r="P303" s="14">
        <v>39</v>
      </c>
      <c r="Q303" s="14" t="str">
        <f t="shared" si="4"/>
        <v>Y</v>
      </c>
    </row>
    <row r="304" spans="1:17" s="14" customFormat="1" x14ac:dyDescent="0.25">
      <c r="A304" s="14" t="s">
        <v>312</v>
      </c>
      <c r="B304" s="17">
        <v>-76.300274999999999</v>
      </c>
      <c r="C304" s="17">
        <v>42.816490999999999</v>
      </c>
      <c r="D304" s="14">
        <v>1</v>
      </c>
      <c r="E304" s="14" t="s">
        <v>376</v>
      </c>
      <c r="F304" s="14" t="s">
        <v>360</v>
      </c>
      <c r="L304" s="14">
        <v>216</v>
      </c>
      <c r="M304" s="14">
        <v>1</v>
      </c>
      <c r="N304" s="14" t="s">
        <v>357</v>
      </c>
      <c r="O304" s="14" t="s">
        <v>355</v>
      </c>
      <c r="Q304" s="14" t="str">
        <f t="shared" si="4"/>
        <v>Y</v>
      </c>
    </row>
    <row r="305" spans="1:17" s="14" customFormat="1" x14ac:dyDescent="0.25">
      <c r="A305" s="14" t="s">
        <v>313</v>
      </c>
      <c r="B305" s="17">
        <v>-76.300274999999999</v>
      </c>
      <c r="C305" s="17">
        <v>42.816490999999999</v>
      </c>
      <c r="D305" s="14">
        <v>1</v>
      </c>
      <c r="E305" s="14" t="s">
        <v>376</v>
      </c>
      <c r="F305" s="14" t="s">
        <v>366</v>
      </c>
      <c r="L305" s="14">
        <v>111</v>
      </c>
      <c r="M305" s="14">
        <v>1</v>
      </c>
      <c r="N305" s="14" t="s">
        <v>357</v>
      </c>
      <c r="O305" s="14" t="s">
        <v>355</v>
      </c>
      <c r="Q305" s="14" t="str">
        <f t="shared" si="4"/>
        <v>Y</v>
      </c>
    </row>
    <row r="306" spans="1:17" s="14" customFormat="1" x14ac:dyDescent="0.25">
      <c r="A306" s="14" t="s">
        <v>314</v>
      </c>
      <c r="B306" s="17">
        <v>-76.300274999999999</v>
      </c>
      <c r="C306" s="17">
        <v>42.816490999999999</v>
      </c>
      <c r="D306" s="14">
        <v>1</v>
      </c>
      <c r="E306" s="14" t="s">
        <v>376</v>
      </c>
      <c r="F306" s="14" t="s">
        <v>370</v>
      </c>
      <c r="L306" s="14">
        <v>129</v>
      </c>
      <c r="M306" s="14">
        <v>1</v>
      </c>
      <c r="N306" s="14" t="s">
        <v>357</v>
      </c>
      <c r="O306" s="14" t="s">
        <v>355</v>
      </c>
      <c r="Q306" s="14" t="str">
        <f t="shared" si="4"/>
        <v>Y</v>
      </c>
    </row>
    <row r="307" spans="1:17" s="14" customFormat="1" x14ac:dyDescent="0.25">
      <c r="A307" s="14" t="s">
        <v>229</v>
      </c>
      <c r="B307" s="17">
        <v>-76.300362471763805</v>
      </c>
      <c r="C307" s="17">
        <v>42.816422608888097</v>
      </c>
      <c r="D307" s="14">
        <v>4</v>
      </c>
      <c r="E307" s="14" t="s">
        <v>376</v>
      </c>
      <c r="F307" s="14" t="s">
        <v>359</v>
      </c>
      <c r="L307" s="14">
        <v>170</v>
      </c>
      <c r="M307" s="14">
        <v>1</v>
      </c>
      <c r="N307" s="14" t="s">
        <v>357</v>
      </c>
      <c r="O307" s="14" t="s">
        <v>355</v>
      </c>
      <c r="P307" s="14">
        <v>78</v>
      </c>
      <c r="Q307" s="14" t="str">
        <f t="shared" si="4"/>
        <v>Y</v>
      </c>
    </row>
    <row r="308" spans="1:17" s="14" customFormat="1" x14ac:dyDescent="0.25">
      <c r="A308" s="14" t="s">
        <v>315</v>
      </c>
      <c r="B308" s="17">
        <v>-76.300362471763805</v>
      </c>
      <c r="C308" s="17">
        <v>42.816422608888097</v>
      </c>
      <c r="D308" s="14">
        <v>4</v>
      </c>
      <c r="E308" s="14" t="s">
        <v>376</v>
      </c>
      <c r="F308" s="14" t="s">
        <v>360</v>
      </c>
      <c r="L308" s="14">
        <v>198</v>
      </c>
      <c r="M308" s="14">
        <v>1</v>
      </c>
      <c r="N308" s="14" t="s">
        <v>357</v>
      </c>
      <c r="O308" s="14" t="s">
        <v>355</v>
      </c>
      <c r="Q308" s="14" t="str">
        <f t="shared" si="4"/>
        <v>Y</v>
      </c>
    </row>
    <row r="309" spans="1:17" s="14" customFormat="1" x14ac:dyDescent="0.25">
      <c r="A309" s="14" t="s">
        <v>230</v>
      </c>
      <c r="B309" s="17">
        <v>-76.299689000000001</v>
      </c>
      <c r="C309" s="17">
        <v>42.815697999999998</v>
      </c>
      <c r="D309" s="14">
        <v>8</v>
      </c>
      <c r="E309" s="14" t="s">
        <v>376</v>
      </c>
      <c r="F309" s="14" t="s">
        <v>359</v>
      </c>
      <c r="L309" s="14">
        <v>0</v>
      </c>
      <c r="M309" s="14">
        <v>0</v>
      </c>
      <c r="N309" s="14" t="s">
        <v>357</v>
      </c>
      <c r="O309" s="14" t="s">
        <v>355</v>
      </c>
      <c r="P309" s="14">
        <v>48</v>
      </c>
      <c r="Q309" s="14" t="str">
        <f t="shared" si="4"/>
        <v>Y</v>
      </c>
    </row>
    <row r="310" spans="1:17" s="14" customFormat="1" x14ac:dyDescent="0.25">
      <c r="A310" s="14" t="s">
        <v>231</v>
      </c>
      <c r="B310" s="17">
        <v>-76.300149000000005</v>
      </c>
      <c r="C310" s="17">
        <v>42.815572000000003</v>
      </c>
      <c r="D310" s="14">
        <v>21</v>
      </c>
      <c r="E310" s="14" t="s">
        <v>376</v>
      </c>
      <c r="F310" s="14" t="s">
        <v>359</v>
      </c>
      <c r="L310" s="14">
        <v>138</v>
      </c>
      <c r="M310" s="14">
        <v>1</v>
      </c>
      <c r="N310" s="14" t="s">
        <v>352</v>
      </c>
      <c r="O310" s="14" t="s">
        <v>355</v>
      </c>
      <c r="P310" s="14">
        <v>289</v>
      </c>
      <c r="Q310" s="14" t="str">
        <f t="shared" si="4"/>
        <v>Y</v>
      </c>
    </row>
    <row r="311" spans="1:17" s="14" customFormat="1" x14ac:dyDescent="0.25">
      <c r="A311" s="14" t="s">
        <v>232</v>
      </c>
      <c r="B311" s="17">
        <v>-76.300284000000005</v>
      </c>
      <c r="C311" s="17">
        <v>42.815427</v>
      </c>
      <c r="D311" s="14">
        <v>27</v>
      </c>
      <c r="E311" s="14" t="s">
        <v>376</v>
      </c>
      <c r="F311" s="14" t="s">
        <v>359</v>
      </c>
      <c r="L311" s="14">
        <v>161</v>
      </c>
      <c r="M311" s="14">
        <v>1</v>
      </c>
      <c r="N311" s="14" t="s">
        <v>352</v>
      </c>
      <c r="O311" s="14" t="s">
        <v>355</v>
      </c>
      <c r="P311" s="14">
        <v>217</v>
      </c>
      <c r="Q311" s="14" t="str">
        <f t="shared" si="4"/>
        <v>Y</v>
      </c>
    </row>
    <row r="312" spans="1:17" s="14" customFormat="1" x14ac:dyDescent="0.25">
      <c r="A312" s="14" t="s">
        <v>316</v>
      </c>
      <c r="B312" s="17">
        <v>-76.300284000000005</v>
      </c>
      <c r="C312" s="17">
        <v>42.815427</v>
      </c>
      <c r="D312" s="14">
        <v>27</v>
      </c>
      <c r="E312" s="14" t="s">
        <v>376</v>
      </c>
      <c r="F312" s="14" t="s">
        <v>360</v>
      </c>
      <c r="L312" s="14">
        <v>59</v>
      </c>
      <c r="M312" s="14">
        <v>1</v>
      </c>
      <c r="N312" s="14" t="s">
        <v>352</v>
      </c>
      <c r="O312" s="14" t="s">
        <v>355</v>
      </c>
      <c r="Q312" s="14" t="str">
        <f t="shared" si="4"/>
        <v>Y</v>
      </c>
    </row>
    <row r="313" spans="1:17" s="14" customFormat="1" x14ac:dyDescent="0.25">
      <c r="A313" s="14" t="s">
        <v>247</v>
      </c>
      <c r="B313" s="17">
        <v>-76.275154999999998</v>
      </c>
      <c r="C313" s="17">
        <v>42.789780999999998</v>
      </c>
      <c r="D313" s="14">
        <v>1</v>
      </c>
      <c r="E313" s="14" t="s">
        <v>377</v>
      </c>
      <c r="F313" s="14" t="s">
        <v>359</v>
      </c>
      <c r="L313" s="14">
        <v>75</v>
      </c>
      <c r="M313" s="14">
        <v>0</v>
      </c>
      <c r="N313" s="14" t="s">
        <v>357</v>
      </c>
      <c r="O313" s="14" t="s">
        <v>355</v>
      </c>
      <c r="P313" s="14">
        <v>0</v>
      </c>
      <c r="Q313" s="14" t="str">
        <f t="shared" si="4"/>
        <v>Y</v>
      </c>
    </row>
    <row r="314" spans="1:17" s="14" customFormat="1" x14ac:dyDescent="0.25">
      <c r="A314" s="14" t="s">
        <v>340</v>
      </c>
      <c r="B314" s="17">
        <v>-76.275154999999998</v>
      </c>
      <c r="C314" s="17">
        <v>42.789780999999998</v>
      </c>
      <c r="D314" s="14">
        <v>1</v>
      </c>
      <c r="E314" s="14" t="s">
        <v>377</v>
      </c>
      <c r="F314" s="14" t="s">
        <v>360</v>
      </c>
      <c r="L314" s="14">
        <v>13</v>
      </c>
      <c r="M314" s="14">
        <v>0</v>
      </c>
      <c r="N314" s="14" t="s">
        <v>357</v>
      </c>
      <c r="O314" s="14" t="s">
        <v>355</v>
      </c>
      <c r="Q314" s="14" t="str">
        <f t="shared" si="4"/>
        <v>Y</v>
      </c>
    </row>
    <row r="315" spans="1:17" s="14" customFormat="1" x14ac:dyDescent="0.25">
      <c r="A315" s="14" t="s">
        <v>234</v>
      </c>
      <c r="B315" s="17">
        <v>-76.275965999999997</v>
      </c>
      <c r="C315" s="17">
        <v>42.789648999999997</v>
      </c>
      <c r="D315" s="14">
        <v>21</v>
      </c>
      <c r="E315" s="14" t="s">
        <v>377</v>
      </c>
      <c r="F315" s="14" t="s">
        <v>359</v>
      </c>
      <c r="L315" s="14">
        <v>122</v>
      </c>
      <c r="M315" s="14">
        <v>1</v>
      </c>
      <c r="N315" s="14" t="s">
        <v>352</v>
      </c>
      <c r="O315" s="14" t="s">
        <v>355</v>
      </c>
      <c r="P315" s="14">
        <v>183</v>
      </c>
      <c r="Q315" s="14" t="str">
        <f t="shared" si="4"/>
        <v>Y</v>
      </c>
    </row>
    <row r="316" spans="1:17" s="14" customFormat="1" x14ac:dyDescent="0.25">
      <c r="A316" s="14" t="s">
        <v>235</v>
      </c>
      <c r="B316" s="17">
        <v>-76.276047000000005</v>
      </c>
      <c r="C316" s="17">
        <v>42.789588999999999</v>
      </c>
      <c r="D316" s="14">
        <v>26</v>
      </c>
      <c r="E316" s="14" t="s">
        <v>377</v>
      </c>
      <c r="F316" s="14" t="s">
        <v>359</v>
      </c>
      <c r="L316" s="14">
        <v>48</v>
      </c>
      <c r="M316" s="14">
        <v>2</v>
      </c>
      <c r="N316" s="14" t="s">
        <v>352</v>
      </c>
      <c r="O316" s="14" t="s">
        <v>355</v>
      </c>
      <c r="P316" s="14">
        <v>45</v>
      </c>
      <c r="Q316" s="14" t="str">
        <f t="shared" si="4"/>
        <v>Y</v>
      </c>
    </row>
    <row r="317" spans="1:17" s="14" customFormat="1" x14ac:dyDescent="0.25">
      <c r="A317" s="14" t="s">
        <v>236</v>
      </c>
      <c r="B317" s="17">
        <v>-76.276191999999995</v>
      </c>
      <c r="C317" s="17">
        <v>42.789648999999997</v>
      </c>
      <c r="D317" s="14">
        <v>29</v>
      </c>
      <c r="E317" s="14" t="s">
        <v>377</v>
      </c>
      <c r="F317" s="14" t="s">
        <v>359</v>
      </c>
      <c r="L317" s="14">
        <v>192</v>
      </c>
      <c r="M317" s="14">
        <v>1</v>
      </c>
      <c r="N317" s="14" t="s">
        <v>352</v>
      </c>
      <c r="O317" s="14" t="s">
        <v>355</v>
      </c>
      <c r="P317" s="14">
        <v>187</v>
      </c>
      <c r="Q317" s="14" t="str">
        <f t="shared" si="4"/>
        <v>Y</v>
      </c>
    </row>
    <row r="318" spans="1:17" s="14" customFormat="1" hidden="1" x14ac:dyDescent="0.25">
      <c r="A318" s="14" t="s">
        <v>237</v>
      </c>
      <c r="B318" s="17">
        <v>-76.276191999999995</v>
      </c>
      <c r="C318" s="17">
        <v>42.789648999999997</v>
      </c>
      <c r="D318" s="14">
        <v>29</v>
      </c>
      <c r="E318" s="14" t="s">
        <v>377</v>
      </c>
      <c r="F318" s="14" t="s">
        <v>360</v>
      </c>
      <c r="P318" s="14">
        <v>140</v>
      </c>
      <c r="Q318" s="14" t="str">
        <f t="shared" si="4"/>
        <v/>
      </c>
    </row>
    <row r="319" spans="1:17" s="14" customFormat="1" hidden="1" x14ac:dyDescent="0.25">
      <c r="A319" s="14" t="s">
        <v>238</v>
      </c>
      <c r="B319" s="17">
        <v>-76.293389000000005</v>
      </c>
      <c r="C319" s="17">
        <v>42.795620999999997</v>
      </c>
      <c r="D319" s="14">
        <v>58</v>
      </c>
      <c r="E319" s="14" t="s">
        <v>377</v>
      </c>
      <c r="F319" s="14" t="s">
        <v>359</v>
      </c>
      <c r="P319" s="14">
        <v>75</v>
      </c>
      <c r="Q319" s="14" t="str">
        <f t="shared" si="4"/>
        <v/>
      </c>
    </row>
    <row r="320" spans="1:17" s="14" customFormat="1" hidden="1" x14ac:dyDescent="0.25">
      <c r="A320" s="14" t="s">
        <v>239</v>
      </c>
      <c r="B320" s="17">
        <v>-76.293299000000005</v>
      </c>
      <c r="C320" s="17">
        <v>42.796044999999999</v>
      </c>
      <c r="D320" s="14">
        <v>70</v>
      </c>
      <c r="E320" s="14" t="s">
        <v>377</v>
      </c>
      <c r="F320" s="14" t="s">
        <v>359</v>
      </c>
      <c r="P320" s="14">
        <v>67</v>
      </c>
      <c r="Q320" s="14" t="str">
        <f t="shared" si="4"/>
        <v/>
      </c>
    </row>
    <row r="321" spans="1:17" s="14" customFormat="1" hidden="1" x14ac:dyDescent="0.25">
      <c r="A321" s="14" t="s">
        <v>240</v>
      </c>
      <c r="B321" s="17">
        <v>-76.293299000000005</v>
      </c>
      <c r="C321" s="17">
        <v>42.796044999999999</v>
      </c>
      <c r="D321" s="14">
        <v>70</v>
      </c>
      <c r="E321" s="14" t="s">
        <v>377</v>
      </c>
      <c r="F321" s="14" t="s">
        <v>360</v>
      </c>
      <c r="P321" s="14">
        <v>119</v>
      </c>
      <c r="Q321" s="14" t="str">
        <f t="shared" si="4"/>
        <v/>
      </c>
    </row>
    <row r="322" spans="1:17" s="14" customFormat="1" hidden="1" x14ac:dyDescent="0.25">
      <c r="A322" s="14" t="s">
        <v>241</v>
      </c>
      <c r="B322" s="17">
        <v>-76.289242999999999</v>
      </c>
      <c r="C322" s="17">
        <v>42.797849999999997</v>
      </c>
      <c r="D322" s="14">
        <v>75</v>
      </c>
      <c r="E322" s="14" t="s">
        <v>377</v>
      </c>
      <c r="F322" s="14" t="s">
        <v>359</v>
      </c>
      <c r="P322" s="14">
        <v>4</v>
      </c>
      <c r="Q322" s="14" t="str">
        <f t="shared" si="4"/>
        <v/>
      </c>
    </row>
    <row r="323" spans="1:17" s="14" customFormat="1" hidden="1" x14ac:dyDescent="0.25">
      <c r="A323" s="14" t="s">
        <v>242</v>
      </c>
      <c r="B323" s="17">
        <v>-76.290477999999993</v>
      </c>
      <c r="C323" s="17">
        <v>42.797367000000001</v>
      </c>
      <c r="D323" s="14">
        <v>75</v>
      </c>
      <c r="E323" s="14" t="s">
        <v>377</v>
      </c>
      <c r="F323" s="14" t="s">
        <v>359</v>
      </c>
      <c r="P323" s="14">
        <v>9</v>
      </c>
      <c r="Q323" s="14" t="str">
        <f t="shared" ref="Q323:Q335" si="5">IF(OR(M323&lt;&gt;"", I323&lt;&gt;""), "Y", "")</f>
        <v/>
      </c>
    </row>
    <row r="324" spans="1:17" s="14" customFormat="1" hidden="1" x14ac:dyDescent="0.25">
      <c r="A324" s="14" t="s">
        <v>75</v>
      </c>
      <c r="B324" s="17">
        <v>-76.339309</v>
      </c>
      <c r="C324" s="17">
        <v>42.844890999999997</v>
      </c>
      <c r="D324" s="14">
        <v>3</v>
      </c>
      <c r="E324" s="14" t="s">
        <v>367</v>
      </c>
      <c r="F324" s="14" t="s">
        <v>359</v>
      </c>
      <c r="G324" s="14">
        <v>936</v>
      </c>
      <c r="H324" s="14">
        <v>400</v>
      </c>
      <c r="I324" s="14">
        <v>2</v>
      </c>
      <c r="J324" s="14" t="s">
        <v>352</v>
      </c>
      <c r="K324" s="14" t="s">
        <v>355</v>
      </c>
      <c r="Q324" s="14" t="str">
        <f t="shared" si="5"/>
        <v>Y</v>
      </c>
    </row>
    <row r="325" spans="1:17" s="14" customFormat="1" hidden="1" x14ac:dyDescent="0.25">
      <c r="A325" s="14" t="s">
        <v>76</v>
      </c>
      <c r="B325" s="17">
        <v>-76.339421999999999</v>
      </c>
      <c r="C325" s="17">
        <v>42.844769999999997</v>
      </c>
      <c r="D325" s="14">
        <v>4</v>
      </c>
      <c r="E325" s="14" t="s">
        <v>367</v>
      </c>
      <c r="F325" s="14" t="s">
        <v>359</v>
      </c>
      <c r="G325" s="14">
        <v>695</v>
      </c>
      <c r="H325" s="14">
        <v>238</v>
      </c>
      <c r="I325" s="14">
        <v>2</v>
      </c>
      <c r="J325" s="14" t="s">
        <v>352</v>
      </c>
      <c r="K325" s="14" t="s">
        <v>355</v>
      </c>
      <c r="Q325" s="14" t="str">
        <f t="shared" si="5"/>
        <v>Y</v>
      </c>
    </row>
    <row r="326" spans="1:17" s="14" customFormat="1" hidden="1" x14ac:dyDescent="0.25">
      <c r="A326" s="14" t="s">
        <v>77</v>
      </c>
      <c r="B326" s="17">
        <v>-76.339545000000001</v>
      </c>
      <c r="C326" s="17">
        <v>42.844698000000001</v>
      </c>
      <c r="D326" s="14">
        <v>5</v>
      </c>
      <c r="E326" s="14" t="s">
        <v>367</v>
      </c>
      <c r="F326" s="14" t="s">
        <v>359</v>
      </c>
      <c r="G326" s="14">
        <v>764</v>
      </c>
      <c r="H326" s="14">
        <v>263</v>
      </c>
      <c r="I326" s="14">
        <v>2</v>
      </c>
      <c r="J326" s="14" t="s">
        <v>352</v>
      </c>
      <c r="K326" s="14" t="s">
        <v>355</v>
      </c>
      <c r="Q326" s="14" t="str">
        <f t="shared" si="5"/>
        <v>Y</v>
      </c>
    </row>
    <row r="327" spans="1:17" s="14" customFormat="1" hidden="1" x14ac:dyDescent="0.25">
      <c r="A327" s="14" t="s">
        <v>78</v>
      </c>
      <c r="B327" s="17">
        <v>-76.339646000000002</v>
      </c>
      <c r="C327" s="17">
        <v>42.844630000000002</v>
      </c>
      <c r="D327" s="14">
        <v>7</v>
      </c>
      <c r="E327" s="14" t="s">
        <v>367</v>
      </c>
      <c r="F327" s="14" t="s">
        <v>359</v>
      </c>
      <c r="G327" s="14">
        <v>944</v>
      </c>
      <c r="H327" s="14">
        <v>409</v>
      </c>
      <c r="I327" s="14">
        <v>2</v>
      </c>
      <c r="J327" s="14" t="s">
        <v>352</v>
      </c>
      <c r="K327" s="14" t="s">
        <v>355</v>
      </c>
      <c r="Q327" s="14" t="str">
        <f t="shared" si="5"/>
        <v>Y</v>
      </c>
    </row>
    <row r="328" spans="1:17" s="14" customFormat="1" hidden="1" x14ac:dyDescent="0.25">
      <c r="A328" s="14" t="s">
        <v>79</v>
      </c>
      <c r="B328" s="17">
        <v>-76.339769000000004</v>
      </c>
      <c r="C328" s="17">
        <v>42.844562000000003</v>
      </c>
      <c r="D328" s="14">
        <v>8</v>
      </c>
      <c r="E328" s="14" t="s">
        <v>367</v>
      </c>
      <c r="F328" s="14" t="s">
        <v>359</v>
      </c>
      <c r="G328" s="14">
        <v>351</v>
      </c>
      <c r="H328" s="14">
        <v>357</v>
      </c>
      <c r="I328" s="14">
        <v>2</v>
      </c>
      <c r="J328" s="14" t="s">
        <v>352</v>
      </c>
      <c r="K328" s="14" t="s">
        <v>355</v>
      </c>
      <c r="Q328" s="14" t="str">
        <f t="shared" si="5"/>
        <v>Y</v>
      </c>
    </row>
    <row r="329" spans="1:17" s="14" customFormat="1" hidden="1" x14ac:dyDescent="0.25">
      <c r="A329" s="14" t="s">
        <v>80</v>
      </c>
      <c r="B329" s="17">
        <v>-76.339905000000002</v>
      </c>
      <c r="C329" s="17">
        <v>42.844484999999999</v>
      </c>
      <c r="D329" s="14">
        <v>10</v>
      </c>
      <c r="E329" s="14" t="s">
        <v>367</v>
      </c>
      <c r="F329" s="14" t="s">
        <v>359</v>
      </c>
      <c r="G329" s="14">
        <v>504</v>
      </c>
      <c r="H329" s="14">
        <v>455</v>
      </c>
      <c r="I329" s="14">
        <v>2</v>
      </c>
      <c r="J329" s="14" t="s">
        <v>352</v>
      </c>
      <c r="K329" s="14" t="s">
        <v>355</v>
      </c>
      <c r="Q329" s="14" t="str">
        <f t="shared" si="5"/>
        <v>Y</v>
      </c>
    </row>
    <row r="330" spans="1:17" s="14" customFormat="1" hidden="1" x14ac:dyDescent="0.25">
      <c r="A330" s="14" t="s">
        <v>81</v>
      </c>
      <c r="B330" s="17">
        <v>-76.339264</v>
      </c>
      <c r="C330" s="17">
        <v>42.844025000000002</v>
      </c>
      <c r="D330" s="14">
        <v>8</v>
      </c>
      <c r="E330" s="14" t="s">
        <v>368</v>
      </c>
      <c r="F330" s="14" t="s">
        <v>359</v>
      </c>
      <c r="G330" s="14">
        <v>581</v>
      </c>
      <c r="H330" s="14">
        <v>389</v>
      </c>
      <c r="I330" s="14">
        <v>2</v>
      </c>
      <c r="J330" s="14" t="s">
        <v>352</v>
      </c>
      <c r="K330" s="14" t="s">
        <v>355</v>
      </c>
      <c r="Q330" s="14" t="str">
        <f t="shared" si="5"/>
        <v>Y</v>
      </c>
    </row>
    <row r="331" spans="1:17" s="14" customFormat="1" hidden="1" x14ac:dyDescent="0.25">
      <c r="A331" s="14" t="s">
        <v>82</v>
      </c>
      <c r="B331" s="17">
        <v>-76.339420000000004</v>
      </c>
      <c r="C331" s="17">
        <v>42.843927000000001</v>
      </c>
      <c r="D331" s="14">
        <v>9</v>
      </c>
      <c r="E331" s="14" t="s">
        <v>368</v>
      </c>
      <c r="F331" s="14" t="s">
        <v>359</v>
      </c>
      <c r="G331" s="14">
        <v>988</v>
      </c>
      <c r="H331" s="14">
        <v>366</v>
      </c>
      <c r="I331" s="14">
        <v>2</v>
      </c>
      <c r="J331" s="14" t="s">
        <v>352</v>
      </c>
      <c r="K331" s="14" t="s">
        <v>355</v>
      </c>
      <c r="Q331" s="14" t="str">
        <f t="shared" si="5"/>
        <v>Y</v>
      </c>
    </row>
    <row r="332" spans="1:17" s="14" customFormat="1" hidden="1" x14ac:dyDescent="0.25">
      <c r="A332" s="14" t="s">
        <v>83</v>
      </c>
      <c r="B332" s="17">
        <v>-76.339583000000005</v>
      </c>
      <c r="C332" s="17">
        <v>42.843837000000001</v>
      </c>
      <c r="D332" s="14">
        <v>10</v>
      </c>
      <c r="E332" s="14" t="s">
        <v>368</v>
      </c>
      <c r="F332" s="14" t="s">
        <v>359</v>
      </c>
      <c r="G332" s="14">
        <v>1030</v>
      </c>
      <c r="H332" s="14">
        <v>536</v>
      </c>
      <c r="I332" s="14">
        <v>2</v>
      </c>
      <c r="J332" s="14" t="s">
        <v>352</v>
      </c>
      <c r="K332" s="14" t="s">
        <v>355</v>
      </c>
      <c r="Q332" s="14" t="str">
        <f t="shared" si="5"/>
        <v>Y</v>
      </c>
    </row>
    <row r="333" spans="1:17" s="14" customFormat="1" hidden="1" x14ac:dyDescent="0.25">
      <c r="A333" s="14" t="s">
        <v>84</v>
      </c>
      <c r="B333" s="17">
        <v>-76.339583000000005</v>
      </c>
      <c r="C333" s="17">
        <v>42.843837000000001</v>
      </c>
      <c r="D333" s="14">
        <v>10</v>
      </c>
      <c r="E333" s="14" t="s">
        <v>368</v>
      </c>
      <c r="F333" s="14" t="s">
        <v>360</v>
      </c>
      <c r="G333" s="14">
        <v>843</v>
      </c>
      <c r="H333" s="14">
        <v>456</v>
      </c>
      <c r="I333" s="14">
        <v>2</v>
      </c>
      <c r="J333" s="14" t="s">
        <v>352</v>
      </c>
      <c r="K333" s="14" t="s">
        <v>355</v>
      </c>
      <c r="Q333" s="14" t="str">
        <f t="shared" si="5"/>
        <v>Y</v>
      </c>
    </row>
    <row r="334" spans="1:17" s="14" customFormat="1" hidden="1" x14ac:dyDescent="0.25">
      <c r="A334" s="14" t="s">
        <v>85</v>
      </c>
      <c r="B334" s="17">
        <v>-76.339121000000006</v>
      </c>
      <c r="C334" s="17">
        <v>42.844273000000001</v>
      </c>
      <c r="D334" s="14">
        <v>11</v>
      </c>
      <c r="E334" s="14" t="s">
        <v>368</v>
      </c>
      <c r="F334" s="14" t="s">
        <v>359</v>
      </c>
      <c r="G334" s="14">
        <v>743</v>
      </c>
      <c r="H334" s="14">
        <v>504</v>
      </c>
      <c r="I334" s="14">
        <v>2</v>
      </c>
      <c r="J334" s="14" t="s">
        <v>352</v>
      </c>
      <c r="K334" s="14" t="s">
        <v>355</v>
      </c>
      <c r="Q334" s="14" t="str">
        <f t="shared" si="5"/>
        <v>Y</v>
      </c>
    </row>
    <row r="335" spans="1:17" s="14" customFormat="1" hidden="1" x14ac:dyDescent="0.25">
      <c r="A335" s="14" t="s">
        <v>86</v>
      </c>
      <c r="B335" s="17">
        <v>-76.339678000000006</v>
      </c>
      <c r="C335" s="17">
        <v>42.843781999999997</v>
      </c>
      <c r="D335" s="14">
        <v>12</v>
      </c>
      <c r="E335" s="14" t="s">
        <v>368</v>
      </c>
      <c r="F335" s="14" t="s">
        <v>359</v>
      </c>
      <c r="G335" s="14">
        <v>736</v>
      </c>
      <c r="H335" s="14">
        <v>399</v>
      </c>
      <c r="I335" s="14">
        <v>2</v>
      </c>
      <c r="J335" s="14" t="s">
        <v>352</v>
      </c>
      <c r="K335" s="14" t="s">
        <v>355</v>
      </c>
      <c r="Q335" s="14" t="str">
        <f t="shared" si="5"/>
        <v>Y</v>
      </c>
    </row>
  </sheetData>
  <autoFilter ref="A1:S335">
    <filterColumn colId="1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8"/>
  <sheetViews>
    <sheetView workbookViewId="0">
      <selection activeCell="Q1" sqref="Q1:Q1048576"/>
    </sheetView>
  </sheetViews>
  <sheetFormatPr defaultRowHeight="15" x14ac:dyDescent="0.25"/>
  <cols>
    <col min="1" max="1" width="11.42578125" bestFit="1" customWidth="1"/>
    <col min="2" max="2" width="13.5703125" style="14" customWidth="1"/>
    <col min="3" max="3" width="13.42578125" style="16" bestFit="1" customWidth="1"/>
    <col min="4" max="4" width="13.85546875" style="16" bestFit="1" customWidth="1"/>
    <col min="5" max="5" width="13.85546875" style="16" customWidth="1"/>
    <col min="6" max="6" width="11.42578125" style="16" customWidth="1"/>
    <col min="13" max="15" width="9.140625" customWidth="1"/>
    <col min="16" max="16" width="23.85546875" bestFit="1" customWidth="1"/>
    <col min="17" max="17" width="21" bestFit="1" customWidth="1"/>
    <col min="18" max="18" width="20.7109375" style="14" bestFit="1" customWidth="1"/>
  </cols>
  <sheetData>
    <row r="1" spans="1:23" x14ac:dyDescent="0.25">
      <c r="A1" t="s">
        <v>0</v>
      </c>
      <c r="B1" s="14" t="s">
        <v>565</v>
      </c>
      <c r="C1" s="16" t="s">
        <v>566</v>
      </c>
      <c r="D1" s="16" t="s">
        <v>567</v>
      </c>
      <c r="E1" s="16" t="s">
        <v>569</v>
      </c>
      <c r="F1" s="16" t="s">
        <v>568</v>
      </c>
      <c r="G1" t="s">
        <v>383</v>
      </c>
      <c r="H1" t="s">
        <v>382</v>
      </c>
      <c r="I1" t="s">
        <v>341</v>
      </c>
      <c r="J1" t="s">
        <v>343</v>
      </c>
      <c r="K1" t="s">
        <v>342</v>
      </c>
      <c r="L1" t="s">
        <v>345</v>
      </c>
      <c r="M1" t="s">
        <v>1</v>
      </c>
      <c r="N1" t="s">
        <v>346</v>
      </c>
      <c r="O1" t="s">
        <v>348</v>
      </c>
      <c r="P1" t="s">
        <v>349</v>
      </c>
      <c r="Q1" t="s">
        <v>570</v>
      </c>
      <c r="R1" s="14" t="s">
        <v>571</v>
      </c>
      <c r="S1" t="s">
        <v>347</v>
      </c>
      <c r="T1" t="s">
        <v>350</v>
      </c>
      <c r="U1" t="s">
        <v>351</v>
      </c>
      <c r="V1" t="s">
        <v>3</v>
      </c>
      <c r="W1" t="s">
        <v>384</v>
      </c>
    </row>
    <row r="2" spans="1:23" x14ac:dyDescent="0.25">
      <c r="A2" t="s">
        <v>248</v>
      </c>
      <c r="B2" s="14">
        <v>11.173999999999999</v>
      </c>
      <c r="C2" s="16" t="s">
        <v>386</v>
      </c>
      <c r="D2" s="16" t="s">
        <v>387</v>
      </c>
      <c r="E2" s="16" t="str">
        <f>RIGHT(C2,9)</f>
        <v>02-01M-WA</v>
      </c>
      <c r="F2" s="16" t="b">
        <f>IF(E2="","",E2=A2)</f>
        <v>1</v>
      </c>
      <c r="G2">
        <v>-76.427786999999995</v>
      </c>
      <c r="H2">
        <v>42.920411000000001</v>
      </c>
      <c r="I2">
        <v>1</v>
      </c>
      <c r="J2" t="s">
        <v>369</v>
      </c>
      <c r="K2" t="s">
        <v>359</v>
      </c>
      <c r="Q2">
        <v>104</v>
      </c>
      <c r="S2">
        <v>2</v>
      </c>
      <c r="T2" t="s">
        <v>357</v>
      </c>
      <c r="U2" t="s">
        <v>355</v>
      </c>
      <c r="W2" t="s">
        <v>385</v>
      </c>
    </row>
    <row r="3" spans="1:23" x14ac:dyDescent="0.25">
      <c r="A3" t="s">
        <v>249</v>
      </c>
      <c r="B3" s="14">
        <v>14.262</v>
      </c>
      <c r="C3" s="16" t="s">
        <v>388</v>
      </c>
      <c r="D3" s="16" t="s">
        <v>387</v>
      </c>
      <c r="E3" s="16" t="str">
        <f t="shared" ref="E3:E71" si="0">RIGHT(C3,9)</f>
        <v>02-01M-WB</v>
      </c>
      <c r="F3" s="16" t="b">
        <f t="shared" ref="F3:F21" si="1">IF(E3="","",E3=A3)</f>
        <v>1</v>
      </c>
      <c r="G3">
        <v>-76.427786999999995</v>
      </c>
      <c r="H3">
        <v>42.920411000000001</v>
      </c>
      <c r="I3">
        <v>1</v>
      </c>
      <c r="J3" t="s">
        <v>369</v>
      </c>
      <c r="K3" t="s">
        <v>360</v>
      </c>
      <c r="Q3">
        <v>105</v>
      </c>
      <c r="S3">
        <v>2</v>
      </c>
      <c r="T3" t="s">
        <v>357</v>
      </c>
      <c r="U3" t="s">
        <v>355</v>
      </c>
      <c r="W3" t="s">
        <v>385</v>
      </c>
    </row>
    <row r="4" spans="1:23" x14ac:dyDescent="0.25">
      <c r="A4" t="s">
        <v>250</v>
      </c>
      <c r="B4" s="14">
        <v>19.199000000000002</v>
      </c>
      <c r="C4" s="16" t="s">
        <v>389</v>
      </c>
      <c r="D4" s="16" t="s">
        <v>387</v>
      </c>
      <c r="E4" s="16" t="str">
        <f t="shared" si="0"/>
        <v>02-01M-WC</v>
      </c>
      <c r="F4" s="16" t="b">
        <f t="shared" si="1"/>
        <v>1</v>
      </c>
      <c r="G4">
        <v>-76.427786999999995</v>
      </c>
      <c r="H4">
        <v>42.920411000000001</v>
      </c>
      <c r="I4">
        <v>1</v>
      </c>
      <c r="J4" t="s">
        <v>369</v>
      </c>
      <c r="K4" t="s">
        <v>366</v>
      </c>
      <c r="Q4">
        <v>184</v>
      </c>
      <c r="S4">
        <v>2</v>
      </c>
      <c r="T4" t="s">
        <v>357</v>
      </c>
      <c r="U4" t="s">
        <v>355</v>
      </c>
      <c r="W4" t="s">
        <v>385</v>
      </c>
    </row>
    <row r="5" spans="1:23" x14ac:dyDescent="0.25">
      <c r="A5" t="s">
        <v>87</v>
      </c>
      <c r="B5" s="14">
        <v>29.309000000000001</v>
      </c>
      <c r="C5" s="16" t="s">
        <v>390</v>
      </c>
      <c r="D5" s="16" t="s">
        <v>391</v>
      </c>
      <c r="E5" s="16" t="str">
        <f t="shared" si="0"/>
        <v>02-02M-EA</v>
      </c>
      <c r="F5" s="16" t="b">
        <f t="shared" si="1"/>
        <v>1</v>
      </c>
      <c r="G5">
        <v>-76.406976</v>
      </c>
      <c r="H5">
        <v>42.922662000000003</v>
      </c>
      <c r="I5">
        <v>2</v>
      </c>
      <c r="J5" t="s">
        <v>369</v>
      </c>
      <c r="K5" t="s">
        <v>359</v>
      </c>
      <c r="Q5">
        <v>231</v>
      </c>
      <c r="S5">
        <v>2</v>
      </c>
      <c r="T5" t="s">
        <v>357</v>
      </c>
      <c r="U5" t="s">
        <v>355</v>
      </c>
      <c r="V5">
        <v>16</v>
      </c>
      <c r="W5" t="s">
        <v>385</v>
      </c>
    </row>
    <row r="6" spans="1:23" x14ac:dyDescent="0.25">
      <c r="A6" t="s">
        <v>251</v>
      </c>
      <c r="B6" s="14">
        <v>15.702999999999999</v>
      </c>
      <c r="C6" s="16" t="s">
        <v>392</v>
      </c>
      <c r="D6" s="16" t="s">
        <v>391</v>
      </c>
      <c r="E6" s="16" t="str">
        <f t="shared" si="0"/>
        <v>02-02M-EB</v>
      </c>
      <c r="F6" s="16" t="b">
        <f t="shared" si="1"/>
        <v>1</v>
      </c>
      <c r="G6">
        <v>-76.406976</v>
      </c>
      <c r="H6">
        <v>42.922662000000003</v>
      </c>
      <c r="I6">
        <v>2</v>
      </c>
      <c r="J6" t="s">
        <v>369</v>
      </c>
      <c r="K6" t="s">
        <v>360</v>
      </c>
      <c r="Q6">
        <v>131</v>
      </c>
      <c r="S6">
        <v>1</v>
      </c>
      <c r="T6" t="s">
        <v>357</v>
      </c>
      <c r="U6" t="s">
        <v>354</v>
      </c>
      <c r="W6" t="s">
        <v>385</v>
      </c>
    </row>
    <row r="7" spans="1:23" x14ac:dyDescent="0.25">
      <c r="A7" t="s">
        <v>88</v>
      </c>
      <c r="B7" s="14">
        <v>27.97</v>
      </c>
      <c r="F7" s="16" t="str">
        <f t="shared" si="1"/>
        <v/>
      </c>
      <c r="G7">
        <v>-76.427498999999997</v>
      </c>
      <c r="H7">
        <v>42.920397999999999</v>
      </c>
      <c r="I7">
        <v>2</v>
      </c>
      <c r="J7" t="s">
        <v>369</v>
      </c>
      <c r="K7" t="s">
        <v>359</v>
      </c>
      <c r="Q7">
        <v>0</v>
      </c>
      <c r="S7">
        <v>0</v>
      </c>
      <c r="T7" t="s">
        <v>352</v>
      </c>
      <c r="U7" t="s">
        <v>356</v>
      </c>
      <c r="V7">
        <v>140</v>
      </c>
      <c r="W7" t="s">
        <v>385</v>
      </c>
    </row>
    <row r="8" spans="1:23" x14ac:dyDescent="0.25">
      <c r="A8" t="s">
        <v>317</v>
      </c>
      <c r="B8" s="14">
        <v>31.116</v>
      </c>
      <c r="F8" s="16" t="str">
        <f t="shared" si="1"/>
        <v/>
      </c>
      <c r="G8">
        <v>-76.427498999999997</v>
      </c>
      <c r="H8">
        <v>42.920397999999999</v>
      </c>
      <c r="I8">
        <v>2</v>
      </c>
      <c r="J8" t="s">
        <v>369</v>
      </c>
      <c r="K8" t="s">
        <v>360</v>
      </c>
      <c r="Q8">
        <v>0</v>
      </c>
      <c r="S8">
        <v>0</v>
      </c>
      <c r="T8" t="s">
        <v>352</v>
      </c>
      <c r="U8" t="s">
        <v>378</v>
      </c>
      <c r="W8" t="s">
        <v>385</v>
      </c>
    </row>
    <row r="9" spans="1:23" x14ac:dyDescent="0.25">
      <c r="A9" t="s">
        <v>318</v>
      </c>
      <c r="B9" s="14">
        <v>48.158999999999999</v>
      </c>
      <c r="F9" s="16" t="str">
        <f t="shared" si="1"/>
        <v/>
      </c>
      <c r="G9">
        <v>-76.410066999999998</v>
      </c>
      <c r="H9">
        <v>42.922925999999997</v>
      </c>
      <c r="I9">
        <v>3</v>
      </c>
      <c r="J9" t="s">
        <v>369</v>
      </c>
      <c r="K9" t="s">
        <v>359</v>
      </c>
      <c r="Q9">
        <v>86</v>
      </c>
      <c r="S9">
        <v>0</v>
      </c>
      <c r="T9" t="s">
        <v>352</v>
      </c>
      <c r="U9" t="s">
        <v>353</v>
      </c>
      <c r="W9" t="s">
        <v>385</v>
      </c>
    </row>
    <row r="10" spans="1:23" x14ac:dyDescent="0.25">
      <c r="A10" t="s">
        <v>252</v>
      </c>
      <c r="B10" s="14">
        <v>36.223999999999997</v>
      </c>
      <c r="C10" s="16" t="s">
        <v>393</v>
      </c>
      <c r="D10" s="16" t="s">
        <v>391</v>
      </c>
      <c r="E10" s="16" t="str">
        <f t="shared" si="0"/>
        <v>02-03M-EB</v>
      </c>
      <c r="F10" s="16" t="b">
        <f t="shared" si="1"/>
        <v>1</v>
      </c>
      <c r="G10">
        <v>-76.410066999999998</v>
      </c>
      <c r="H10">
        <v>42.922925999999997</v>
      </c>
      <c r="I10">
        <v>3</v>
      </c>
      <c r="J10" t="s">
        <v>369</v>
      </c>
      <c r="K10" t="s">
        <v>360</v>
      </c>
      <c r="Q10">
        <v>91</v>
      </c>
      <c r="S10">
        <v>0</v>
      </c>
      <c r="T10" t="s">
        <v>352</v>
      </c>
      <c r="U10" t="s">
        <v>354</v>
      </c>
      <c r="W10" t="s">
        <v>385</v>
      </c>
    </row>
    <row r="11" spans="1:23" x14ac:dyDescent="0.25">
      <c r="A11" t="s">
        <v>89</v>
      </c>
      <c r="B11" s="14">
        <v>36.627000000000002</v>
      </c>
      <c r="F11" s="16" t="str">
        <f t="shared" si="1"/>
        <v/>
      </c>
      <c r="G11">
        <v>-76.427256</v>
      </c>
      <c r="H11">
        <v>42.920575999999997</v>
      </c>
      <c r="I11">
        <v>3</v>
      </c>
      <c r="J11" t="s">
        <v>369</v>
      </c>
      <c r="K11" t="s">
        <v>359</v>
      </c>
      <c r="Q11">
        <v>56</v>
      </c>
      <c r="S11">
        <v>0</v>
      </c>
      <c r="T11" t="s">
        <v>352</v>
      </c>
      <c r="U11" t="s">
        <v>353</v>
      </c>
      <c r="V11">
        <v>31</v>
      </c>
      <c r="W11" t="s">
        <v>385</v>
      </c>
    </row>
    <row r="12" spans="1:23" x14ac:dyDescent="0.25">
      <c r="A12" t="s">
        <v>319</v>
      </c>
      <c r="B12" s="14">
        <v>33.871000000000002</v>
      </c>
      <c r="F12" s="16" t="str">
        <f t="shared" si="1"/>
        <v/>
      </c>
      <c r="G12">
        <v>-76.427256</v>
      </c>
      <c r="H12">
        <v>42.920575999999997</v>
      </c>
      <c r="I12">
        <v>3</v>
      </c>
      <c r="J12" t="s">
        <v>369</v>
      </c>
      <c r="K12" t="s">
        <v>360</v>
      </c>
      <c r="Q12">
        <v>54</v>
      </c>
      <c r="S12">
        <v>0</v>
      </c>
      <c r="T12" t="s">
        <v>352</v>
      </c>
      <c r="U12" t="s">
        <v>353</v>
      </c>
      <c r="W12" t="s">
        <v>385</v>
      </c>
    </row>
    <row r="13" spans="1:23" x14ac:dyDescent="0.25">
      <c r="A13" t="s">
        <v>253</v>
      </c>
      <c r="B13" s="14">
        <v>16.827000000000002</v>
      </c>
      <c r="C13" s="16" t="s">
        <v>394</v>
      </c>
      <c r="D13" s="16" t="s">
        <v>391</v>
      </c>
      <c r="E13" s="16" t="str">
        <f t="shared" si="0"/>
        <v>02-05M-EA</v>
      </c>
      <c r="F13" s="16" t="b">
        <f t="shared" si="1"/>
        <v>1</v>
      </c>
      <c r="G13">
        <v>-76.413158999999993</v>
      </c>
      <c r="H13">
        <v>42.922714999999997</v>
      </c>
      <c r="I13">
        <v>5</v>
      </c>
      <c r="J13" t="s">
        <v>369</v>
      </c>
      <c r="K13" t="s">
        <v>359</v>
      </c>
      <c r="Q13">
        <v>221</v>
      </c>
      <c r="S13">
        <v>1</v>
      </c>
      <c r="T13" t="s">
        <v>352</v>
      </c>
      <c r="U13" t="s">
        <v>355</v>
      </c>
      <c r="W13" t="s">
        <v>385</v>
      </c>
    </row>
    <row r="14" spans="1:23" x14ac:dyDescent="0.25">
      <c r="A14" t="s">
        <v>254</v>
      </c>
      <c r="B14" s="14">
        <v>10.776999999999999</v>
      </c>
      <c r="C14" s="16" t="s">
        <v>395</v>
      </c>
      <c r="D14" s="16" t="s">
        <v>396</v>
      </c>
      <c r="E14" s="16" t="str">
        <f t="shared" si="0"/>
        <v>02-05M-EB</v>
      </c>
      <c r="F14" s="16" t="b">
        <f t="shared" si="1"/>
        <v>1</v>
      </c>
      <c r="G14">
        <v>-76.413158999999993</v>
      </c>
      <c r="H14">
        <v>42.922714999999997</v>
      </c>
      <c r="I14">
        <v>5</v>
      </c>
      <c r="J14" t="s">
        <v>369</v>
      </c>
      <c r="K14" t="s">
        <v>360</v>
      </c>
      <c r="Q14">
        <v>44</v>
      </c>
      <c r="S14">
        <v>1</v>
      </c>
      <c r="T14" t="s">
        <v>352</v>
      </c>
      <c r="U14" t="s">
        <v>355</v>
      </c>
      <c r="W14" t="s">
        <v>385</v>
      </c>
    </row>
    <row r="15" spans="1:23" x14ac:dyDescent="0.25">
      <c r="A15" t="s">
        <v>255</v>
      </c>
      <c r="B15" s="14">
        <v>20.170999999999999</v>
      </c>
      <c r="C15" s="16" t="s">
        <v>395</v>
      </c>
      <c r="D15" s="16" t="s">
        <v>391</v>
      </c>
      <c r="E15" s="16" t="str">
        <f t="shared" si="0"/>
        <v>02-05M-EB</v>
      </c>
      <c r="F15" s="16" t="b">
        <f t="shared" si="1"/>
        <v>0</v>
      </c>
      <c r="G15">
        <v>-76.413158999999993</v>
      </c>
      <c r="H15">
        <v>42.922714999999997</v>
      </c>
      <c r="I15">
        <v>5</v>
      </c>
      <c r="J15" t="s">
        <v>369</v>
      </c>
      <c r="K15" t="s">
        <v>366</v>
      </c>
      <c r="Q15">
        <v>41</v>
      </c>
      <c r="S15">
        <v>0</v>
      </c>
      <c r="T15" t="s">
        <v>352</v>
      </c>
      <c r="U15" t="s">
        <v>356</v>
      </c>
      <c r="W15" t="s">
        <v>385</v>
      </c>
    </row>
    <row r="16" spans="1:23" x14ac:dyDescent="0.25">
      <c r="A16" t="s">
        <v>256</v>
      </c>
      <c r="B16" s="14">
        <v>19.238</v>
      </c>
      <c r="C16" s="16" t="s">
        <v>397</v>
      </c>
      <c r="D16" s="16" t="s">
        <v>391</v>
      </c>
      <c r="E16" s="16" t="str">
        <f t="shared" si="0"/>
        <v>02-05M-EC</v>
      </c>
      <c r="F16" s="16" t="b">
        <f t="shared" si="1"/>
        <v>0</v>
      </c>
      <c r="G16">
        <v>-76.413158999999993</v>
      </c>
      <c r="H16">
        <v>42.922714999999997</v>
      </c>
      <c r="I16">
        <v>5</v>
      </c>
      <c r="J16" t="s">
        <v>369</v>
      </c>
      <c r="K16" t="s">
        <v>370</v>
      </c>
      <c r="Q16">
        <v>342</v>
      </c>
      <c r="S16">
        <v>1</v>
      </c>
      <c r="T16" t="s">
        <v>352</v>
      </c>
      <c r="U16" t="s">
        <v>355</v>
      </c>
      <c r="W16" t="s">
        <v>385</v>
      </c>
    </row>
    <row r="17" spans="1:23" x14ac:dyDescent="0.25">
      <c r="A17" t="s">
        <v>90</v>
      </c>
      <c r="B17" s="14">
        <v>25.251000000000001</v>
      </c>
      <c r="C17" s="16" t="s">
        <v>398</v>
      </c>
      <c r="D17" s="16" t="s">
        <v>391</v>
      </c>
      <c r="E17" s="16" t="str">
        <f t="shared" si="0"/>
        <v>02-08M-WA</v>
      </c>
      <c r="F17" s="16" t="b">
        <f t="shared" si="1"/>
        <v>0</v>
      </c>
      <c r="G17">
        <v>-76.426877000000005</v>
      </c>
      <c r="H17">
        <v>42.920867000000001</v>
      </c>
      <c r="I17">
        <v>5</v>
      </c>
      <c r="J17" t="s">
        <v>369</v>
      </c>
      <c r="K17" t="s">
        <v>359</v>
      </c>
      <c r="Q17">
        <v>0</v>
      </c>
      <c r="S17">
        <v>0</v>
      </c>
      <c r="T17" t="s">
        <v>352</v>
      </c>
      <c r="U17" t="s">
        <v>356</v>
      </c>
      <c r="V17">
        <v>600</v>
      </c>
      <c r="W17" t="s">
        <v>385</v>
      </c>
    </row>
    <row r="18" spans="1:23" x14ac:dyDescent="0.25">
      <c r="A18" t="s">
        <v>320</v>
      </c>
      <c r="B18" s="14">
        <v>41.9</v>
      </c>
      <c r="C18" s="16" t="s">
        <v>399</v>
      </c>
      <c r="D18" s="16" t="s">
        <v>391</v>
      </c>
      <c r="E18" s="16" t="str">
        <f t="shared" si="0"/>
        <v>02-08M-WB</v>
      </c>
      <c r="F18" s="16" t="b">
        <f t="shared" si="1"/>
        <v>0</v>
      </c>
      <c r="G18">
        <v>-76.426877000000005</v>
      </c>
      <c r="H18">
        <v>42.920867000000001</v>
      </c>
      <c r="I18">
        <v>5</v>
      </c>
      <c r="J18" t="s">
        <v>369</v>
      </c>
      <c r="K18" t="s">
        <v>360</v>
      </c>
      <c r="Q18">
        <v>0</v>
      </c>
      <c r="S18">
        <v>1</v>
      </c>
      <c r="T18" t="s">
        <v>352</v>
      </c>
      <c r="U18" t="s">
        <v>378</v>
      </c>
      <c r="W18" t="s">
        <v>385</v>
      </c>
    </row>
    <row r="19" spans="1:23" x14ac:dyDescent="0.25">
      <c r="A19" t="s">
        <v>91</v>
      </c>
      <c r="B19" s="14">
        <v>20.405999999999999</v>
      </c>
      <c r="C19" s="16" t="s">
        <v>400</v>
      </c>
      <c r="D19" s="16" t="s">
        <v>396</v>
      </c>
      <c r="E19" s="16" t="str">
        <f t="shared" si="0"/>
        <v>02-11M-EA</v>
      </c>
      <c r="F19" s="16" t="b">
        <f t="shared" si="1"/>
        <v>0</v>
      </c>
      <c r="G19">
        <v>-76.413816999999995</v>
      </c>
      <c r="H19">
        <v>42.922899000000001</v>
      </c>
      <c r="I19">
        <v>8</v>
      </c>
      <c r="J19" t="s">
        <v>369</v>
      </c>
      <c r="K19" t="s">
        <v>359</v>
      </c>
      <c r="Q19">
        <v>0</v>
      </c>
      <c r="S19">
        <v>0</v>
      </c>
      <c r="T19" t="s">
        <v>352</v>
      </c>
      <c r="U19" t="s">
        <v>356</v>
      </c>
      <c r="V19">
        <v>996</v>
      </c>
      <c r="W19" t="s">
        <v>385</v>
      </c>
    </row>
    <row r="20" spans="1:23" x14ac:dyDescent="0.25">
      <c r="A20" t="s">
        <v>321</v>
      </c>
      <c r="B20" s="14">
        <v>12.05</v>
      </c>
      <c r="C20" s="16" t="s">
        <v>401</v>
      </c>
      <c r="D20" s="16" t="s">
        <v>396</v>
      </c>
      <c r="E20" s="16" t="str">
        <f t="shared" si="0"/>
        <v>02-14M-WA</v>
      </c>
      <c r="F20" s="16" t="b">
        <f t="shared" si="1"/>
        <v>0</v>
      </c>
      <c r="G20">
        <v>-76.413816999999995</v>
      </c>
      <c r="H20">
        <v>42.922899000000001</v>
      </c>
      <c r="I20">
        <v>8</v>
      </c>
      <c r="J20" t="s">
        <v>369</v>
      </c>
      <c r="K20" t="s">
        <v>360</v>
      </c>
      <c r="Q20">
        <v>0</v>
      </c>
      <c r="S20">
        <v>0</v>
      </c>
      <c r="T20" t="s">
        <v>352</v>
      </c>
      <c r="U20" t="s">
        <v>378</v>
      </c>
      <c r="W20" t="s">
        <v>385</v>
      </c>
    </row>
    <row r="21" spans="1:23" x14ac:dyDescent="0.25">
      <c r="A21" t="s">
        <v>92</v>
      </c>
      <c r="B21" s="14">
        <v>24.983000000000001</v>
      </c>
      <c r="C21" s="16" t="s">
        <v>402</v>
      </c>
      <c r="D21" s="16" t="s">
        <v>396</v>
      </c>
      <c r="E21" s="16" t="str">
        <f t="shared" si="0"/>
        <v>02-14M-WB</v>
      </c>
      <c r="F21" s="16" t="b">
        <f t="shared" si="1"/>
        <v>0</v>
      </c>
      <c r="G21">
        <v>-76.426507999999998</v>
      </c>
      <c r="H21">
        <v>42.921123999999999</v>
      </c>
      <c r="I21">
        <v>8</v>
      </c>
      <c r="J21" t="s">
        <v>369</v>
      </c>
      <c r="K21" t="s">
        <v>359</v>
      </c>
      <c r="Q21">
        <v>192</v>
      </c>
      <c r="S21">
        <v>1</v>
      </c>
      <c r="T21" t="s">
        <v>352</v>
      </c>
      <c r="U21" t="s">
        <v>355</v>
      </c>
      <c r="V21">
        <v>145</v>
      </c>
      <c r="W21" t="s">
        <v>385</v>
      </c>
    </row>
    <row r="22" spans="1:23" x14ac:dyDescent="0.25">
      <c r="A22" t="s">
        <v>257</v>
      </c>
      <c r="B22" s="14">
        <v>18.373999999999999</v>
      </c>
      <c r="C22" s="16" t="s">
        <v>403</v>
      </c>
      <c r="D22" s="16" t="s">
        <v>396</v>
      </c>
      <c r="E22" s="16" t="str">
        <f t="shared" si="0"/>
        <v>02-17M-EA</v>
      </c>
      <c r="F22" s="16" t="b">
        <f t="shared" ref="F22:F85" si="2">E22=A17</f>
        <v>0</v>
      </c>
      <c r="G22">
        <v>-76.426507999999998</v>
      </c>
      <c r="H22">
        <v>42.921123999999999</v>
      </c>
      <c r="I22">
        <v>8</v>
      </c>
      <c r="J22" t="s">
        <v>369</v>
      </c>
      <c r="K22" t="s">
        <v>360</v>
      </c>
      <c r="Q22">
        <v>99</v>
      </c>
      <c r="S22">
        <v>1</v>
      </c>
      <c r="T22" t="s">
        <v>352</v>
      </c>
      <c r="U22" t="s">
        <v>355</v>
      </c>
      <c r="W22" t="s">
        <v>385</v>
      </c>
    </row>
    <row r="23" spans="1:23" x14ac:dyDescent="0.25">
      <c r="A23" t="s">
        <v>93</v>
      </c>
      <c r="B23" s="14">
        <v>35.531999999999996</v>
      </c>
      <c r="C23" s="16" t="s">
        <v>404</v>
      </c>
      <c r="D23" s="16" t="s">
        <v>396</v>
      </c>
      <c r="E23" s="16" t="str">
        <f t="shared" si="0"/>
        <v>02-17M-EB</v>
      </c>
      <c r="F23" s="16" t="b">
        <f t="shared" si="2"/>
        <v>0</v>
      </c>
      <c r="G23">
        <v>-76.424533999999994</v>
      </c>
      <c r="H23">
        <v>42.922286</v>
      </c>
      <c r="I23">
        <v>10</v>
      </c>
      <c r="J23" t="s">
        <v>369</v>
      </c>
      <c r="K23" t="s">
        <v>359</v>
      </c>
      <c r="Q23">
        <v>0</v>
      </c>
      <c r="S23">
        <v>0</v>
      </c>
      <c r="T23" t="s">
        <v>352</v>
      </c>
      <c r="U23" t="s">
        <v>356</v>
      </c>
      <c r="V23">
        <v>175</v>
      </c>
      <c r="W23" t="s">
        <v>385</v>
      </c>
    </row>
    <row r="24" spans="1:23" x14ac:dyDescent="0.25">
      <c r="A24" t="s">
        <v>322</v>
      </c>
      <c r="B24" s="14">
        <v>48.369</v>
      </c>
      <c r="C24" s="16" t="s">
        <v>405</v>
      </c>
      <c r="D24" s="16" t="s">
        <v>396</v>
      </c>
      <c r="E24" s="16" t="str">
        <f t="shared" si="0"/>
        <v>02-17M-WA</v>
      </c>
      <c r="F24" s="16" t="b">
        <f t="shared" si="2"/>
        <v>0</v>
      </c>
      <c r="G24">
        <v>-76.424533999999994</v>
      </c>
      <c r="H24">
        <v>42.922286</v>
      </c>
      <c r="I24">
        <v>10</v>
      </c>
      <c r="J24" t="s">
        <v>369</v>
      </c>
      <c r="K24" t="s">
        <v>360</v>
      </c>
      <c r="Q24">
        <v>0</v>
      </c>
      <c r="S24">
        <v>0</v>
      </c>
      <c r="T24" t="s">
        <v>352</v>
      </c>
      <c r="U24" t="s">
        <v>378</v>
      </c>
      <c r="W24" t="s">
        <v>385</v>
      </c>
    </row>
    <row r="25" spans="1:23" x14ac:dyDescent="0.25">
      <c r="A25" t="s">
        <v>94</v>
      </c>
      <c r="B25" s="14">
        <v>22.352</v>
      </c>
      <c r="C25" s="16" t="s">
        <v>406</v>
      </c>
      <c r="D25" s="16" t="s">
        <v>396</v>
      </c>
      <c r="E25" s="16" t="str">
        <f t="shared" si="0"/>
        <v>02-17M-WB</v>
      </c>
      <c r="F25" s="16" t="b">
        <f t="shared" si="2"/>
        <v>0</v>
      </c>
      <c r="G25">
        <v>-76.414015000000006</v>
      </c>
      <c r="H25">
        <v>42.922820000000002</v>
      </c>
      <c r="I25">
        <v>11</v>
      </c>
      <c r="J25" t="s">
        <v>369</v>
      </c>
      <c r="K25" t="s">
        <v>359</v>
      </c>
      <c r="Q25">
        <v>142</v>
      </c>
      <c r="S25">
        <v>1</v>
      </c>
      <c r="T25" t="s">
        <v>352</v>
      </c>
      <c r="U25" t="s">
        <v>355</v>
      </c>
      <c r="V25">
        <v>89</v>
      </c>
      <c r="W25" t="s">
        <v>385</v>
      </c>
    </row>
    <row r="26" spans="1:23" x14ac:dyDescent="0.25">
      <c r="A26" t="s">
        <v>323</v>
      </c>
      <c r="B26" s="14">
        <v>32.798000000000002</v>
      </c>
      <c r="C26" s="16" t="s">
        <v>407</v>
      </c>
      <c r="D26" s="16" t="s">
        <v>396</v>
      </c>
      <c r="E26" s="16" t="str">
        <f t="shared" si="0"/>
        <v>02-21M-EA</v>
      </c>
      <c r="F26" s="16" t="b">
        <f t="shared" si="2"/>
        <v>0</v>
      </c>
      <c r="G26">
        <v>-76.414015000000006</v>
      </c>
      <c r="H26">
        <v>42.922820000000002</v>
      </c>
      <c r="I26">
        <v>11</v>
      </c>
      <c r="J26" t="s">
        <v>369</v>
      </c>
      <c r="K26" t="s">
        <v>360</v>
      </c>
      <c r="Q26">
        <v>39</v>
      </c>
      <c r="S26">
        <v>1</v>
      </c>
      <c r="T26" t="s">
        <v>352</v>
      </c>
      <c r="U26" t="s">
        <v>355</v>
      </c>
      <c r="W26" t="s">
        <v>385</v>
      </c>
    </row>
    <row r="27" spans="1:23" x14ac:dyDescent="0.25">
      <c r="A27" t="s">
        <v>95</v>
      </c>
      <c r="B27" s="14">
        <v>25.103999999999999</v>
      </c>
      <c r="C27" s="16" t="s">
        <v>408</v>
      </c>
      <c r="D27" s="16" t="s">
        <v>396</v>
      </c>
      <c r="E27" s="16" t="str">
        <f t="shared" si="0"/>
        <v>02-21M-EB</v>
      </c>
      <c r="F27" s="16" t="b">
        <f t="shared" si="2"/>
        <v>0</v>
      </c>
      <c r="G27">
        <v>-76.414357999999993</v>
      </c>
      <c r="H27">
        <v>42.922820000000002</v>
      </c>
      <c r="I27">
        <v>14</v>
      </c>
      <c r="J27" t="s">
        <v>369</v>
      </c>
      <c r="K27" t="s">
        <v>359</v>
      </c>
      <c r="Q27">
        <v>17</v>
      </c>
      <c r="S27">
        <v>0</v>
      </c>
      <c r="T27" t="s">
        <v>352</v>
      </c>
      <c r="U27" t="s">
        <v>356</v>
      </c>
      <c r="V27">
        <v>61</v>
      </c>
      <c r="W27" t="s">
        <v>385</v>
      </c>
    </row>
    <row r="28" spans="1:23" x14ac:dyDescent="0.25">
      <c r="A28" t="s">
        <v>324</v>
      </c>
      <c r="B28" s="14">
        <v>16.515000000000001</v>
      </c>
      <c r="C28" s="16" t="s">
        <v>409</v>
      </c>
      <c r="D28" s="16" t="s">
        <v>396</v>
      </c>
      <c r="E28" s="16" t="str">
        <f t="shared" si="0"/>
        <v>02-24M-WA</v>
      </c>
      <c r="F28" s="16" t="b">
        <f t="shared" si="2"/>
        <v>0</v>
      </c>
      <c r="G28">
        <v>-76.414357999999993</v>
      </c>
      <c r="H28">
        <v>42.922820000000002</v>
      </c>
      <c r="I28">
        <v>14</v>
      </c>
      <c r="J28" t="s">
        <v>369</v>
      </c>
      <c r="K28" t="s">
        <v>360</v>
      </c>
      <c r="Q28">
        <v>42</v>
      </c>
      <c r="S28">
        <v>0</v>
      </c>
      <c r="T28" t="s">
        <v>352</v>
      </c>
      <c r="U28" t="s">
        <v>354</v>
      </c>
      <c r="W28" t="s">
        <v>385</v>
      </c>
    </row>
    <row r="29" spans="1:23" x14ac:dyDescent="0.25">
      <c r="A29" t="s">
        <v>96</v>
      </c>
      <c r="B29" s="14">
        <v>47.697000000000003</v>
      </c>
      <c r="C29" s="16" t="s">
        <v>410</v>
      </c>
      <c r="D29" s="16" t="s">
        <v>396</v>
      </c>
      <c r="E29" s="16" t="str">
        <f t="shared" si="0"/>
        <v>02-24M-WB</v>
      </c>
      <c r="F29" s="16" t="b">
        <f t="shared" si="2"/>
        <v>0</v>
      </c>
      <c r="G29">
        <v>-76.420936999999995</v>
      </c>
      <c r="H29">
        <v>42.922873000000003</v>
      </c>
      <c r="I29">
        <v>14</v>
      </c>
      <c r="J29" t="s">
        <v>369</v>
      </c>
      <c r="K29" t="s">
        <v>359</v>
      </c>
      <c r="Q29">
        <v>182</v>
      </c>
      <c r="S29">
        <v>2</v>
      </c>
      <c r="T29" t="s">
        <v>352</v>
      </c>
      <c r="U29" t="s">
        <v>355</v>
      </c>
      <c r="V29">
        <v>226</v>
      </c>
      <c r="W29" t="s">
        <v>385</v>
      </c>
    </row>
    <row r="30" spans="1:23" x14ac:dyDescent="0.25">
      <c r="A30" t="s">
        <v>258</v>
      </c>
      <c r="B30" s="14">
        <v>28.847999999999999</v>
      </c>
      <c r="C30" s="16" t="s">
        <v>411</v>
      </c>
      <c r="D30" s="16" t="s">
        <v>396</v>
      </c>
      <c r="E30" s="16" t="str">
        <f t="shared" si="0"/>
        <v>03-11M-WA</v>
      </c>
      <c r="F30" s="16" t="b">
        <f t="shared" si="2"/>
        <v>0</v>
      </c>
      <c r="G30">
        <v>-76.420936999999995</v>
      </c>
      <c r="H30">
        <v>42.922873000000003</v>
      </c>
      <c r="I30">
        <v>14</v>
      </c>
      <c r="J30" t="s">
        <v>369</v>
      </c>
      <c r="K30" t="s">
        <v>360</v>
      </c>
      <c r="Q30">
        <v>204</v>
      </c>
      <c r="S30">
        <v>2</v>
      </c>
      <c r="T30" t="s">
        <v>352</v>
      </c>
      <c r="U30" t="s">
        <v>355</v>
      </c>
      <c r="W30" t="s">
        <v>385</v>
      </c>
    </row>
    <row r="31" spans="1:23" x14ac:dyDescent="0.25">
      <c r="A31" t="s">
        <v>97</v>
      </c>
      <c r="B31" s="14">
        <v>37.085999999999999</v>
      </c>
      <c r="C31" s="16" t="s">
        <v>412</v>
      </c>
      <c r="D31" s="16" t="s">
        <v>396</v>
      </c>
      <c r="E31" s="16" t="str">
        <f t="shared" si="0"/>
        <v>03-11M-WB</v>
      </c>
      <c r="F31" s="16" t="b">
        <f t="shared" si="2"/>
        <v>0</v>
      </c>
      <c r="G31">
        <v>-76.414799000000002</v>
      </c>
      <c r="H31">
        <v>42.923077999999997</v>
      </c>
      <c r="I31">
        <v>17</v>
      </c>
      <c r="J31" t="s">
        <v>369</v>
      </c>
      <c r="K31" t="s">
        <v>359</v>
      </c>
      <c r="Q31">
        <v>209</v>
      </c>
      <c r="S31">
        <v>2</v>
      </c>
      <c r="T31" t="s">
        <v>352</v>
      </c>
      <c r="U31" t="s">
        <v>355</v>
      </c>
      <c r="V31">
        <v>38</v>
      </c>
      <c r="W31" t="s">
        <v>385</v>
      </c>
    </row>
    <row r="32" spans="1:23" x14ac:dyDescent="0.25">
      <c r="A32" t="s">
        <v>259</v>
      </c>
      <c r="B32" s="14">
        <v>48.110999999999997</v>
      </c>
      <c r="C32" s="16" t="s">
        <v>413</v>
      </c>
      <c r="D32" s="16" t="s">
        <v>396</v>
      </c>
      <c r="E32" s="16" t="str">
        <f t="shared" si="0"/>
        <v>03-14M-WA</v>
      </c>
      <c r="F32" s="16" t="b">
        <f t="shared" si="2"/>
        <v>0</v>
      </c>
      <c r="G32">
        <v>-76.414799000000002</v>
      </c>
      <c r="H32">
        <v>42.923077999999997</v>
      </c>
      <c r="I32">
        <v>17</v>
      </c>
      <c r="J32" t="s">
        <v>369</v>
      </c>
      <c r="K32" t="s">
        <v>360</v>
      </c>
      <c r="Q32">
        <v>332</v>
      </c>
      <c r="S32">
        <v>2</v>
      </c>
      <c r="T32" t="s">
        <v>352</v>
      </c>
      <c r="U32" t="s">
        <v>355</v>
      </c>
      <c r="W32" t="s">
        <v>385</v>
      </c>
    </row>
    <row r="33" spans="1:23" x14ac:dyDescent="0.25">
      <c r="A33" t="s">
        <v>98</v>
      </c>
      <c r="B33" s="14">
        <v>40.61</v>
      </c>
      <c r="C33" s="16" t="s">
        <v>414</v>
      </c>
      <c r="D33" s="16" t="s">
        <v>396</v>
      </c>
      <c r="E33" s="16" t="str">
        <f t="shared" si="0"/>
        <v>03-14M-WB</v>
      </c>
      <c r="F33" s="16" t="b">
        <f t="shared" si="2"/>
        <v>0</v>
      </c>
      <c r="G33">
        <v>-76.420468999999997</v>
      </c>
      <c r="H33">
        <v>42.922832999999997</v>
      </c>
      <c r="I33">
        <v>17</v>
      </c>
      <c r="J33" t="s">
        <v>369</v>
      </c>
      <c r="K33" t="s">
        <v>359</v>
      </c>
      <c r="Q33">
        <v>159</v>
      </c>
      <c r="S33">
        <v>2</v>
      </c>
      <c r="T33" t="s">
        <v>352</v>
      </c>
      <c r="U33" t="s">
        <v>355</v>
      </c>
      <c r="V33">
        <v>112</v>
      </c>
      <c r="W33" t="s">
        <v>385</v>
      </c>
    </row>
    <row r="34" spans="1:23" x14ac:dyDescent="0.25">
      <c r="A34" t="s">
        <v>260</v>
      </c>
      <c r="B34" s="14">
        <v>35.883000000000003</v>
      </c>
      <c r="C34" s="16" t="s">
        <v>415</v>
      </c>
      <c r="D34" s="16" t="s">
        <v>416</v>
      </c>
      <c r="E34" s="16" t="str">
        <f t="shared" si="0"/>
        <v>03-17M-WA</v>
      </c>
      <c r="F34" s="16" t="b">
        <f t="shared" si="2"/>
        <v>0</v>
      </c>
      <c r="G34">
        <v>-76.420468999999997</v>
      </c>
      <c r="H34">
        <v>42.922832999999997</v>
      </c>
      <c r="I34">
        <v>17</v>
      </c>
      <c r="J34" t="s">
        <v>369</v>
      </c>
      <c r="K34" t="s">
        <v>360</v>
      </c>
      <c r="Q34">
        <v>113</v>
      </c>
      <c r="S34">
        <v>1</v>
      </c>
      <c r="T34" t="s">
        <v>352</v>
      </c>
      <c r="U34" t="s">
        <v>355</v>
      </c>
      <c r="W34" t="s">
        <v>385</v>
      </c>
    </row>
    <row r="35" spans="1:23" x14ac:dyDescent="0.25">
      <c r="A35" t="s">
        <v>99</v>
      </c>
      <c r="B35" s="14">
        <v>55.749000000000002</v>
      </c>
      <c r="C35" s="16" t="s">
        <v>417</v>
      </c>
      <c r="D35" s="16" t="s">
        <v>396</v>
      </c>
      <c r="E35" s="16" t="str">
        <f t="shared" si="0"/>
        <v>03-18M-WA</v>
      </c>
      <c r="F35" s="16" t="b">
        <f t="shared" si="2"/>
        <v>0</v>
      </c>
      <c r="G35">
        <v>-76.415925999999999</v>
      </c>
      <c r="H35">
        <v>42.922840000000001</v>
      </c>
      <c r="I35">
        <v>21</v>
      </c>
      <c r="J35" t="s">
        <v>369</v>
      </c>
      <c r="K35" t="s">
        <v>359</v>
      </c>
      <c r="Q35">
        <v>172</v>
      </c>
      <c r="S35">
        <v>2</v>
      </c>
      <c r="T35" t="s">
        <v>352</v>
      </c>
      <c r="U35" t="s">
        <v>355</v>
      </c>
      <c r="V35">
        <v>237</v>
      </c>
      <c r="W35" t="s">
        <v>385</v>
      </c>
    </row>
    <row r="36" spans="1:23" x14ac:dyDescent="0.25">
      <c r="A36" t="s">
        <v>261</v>
      </c>
      <c r="B36" s="14">
        <v>30.997</v>
      </c>
      <c r="C36" s="16" t="s">
        <v>418</v>
      </c>
      <c r="D36" s="16" t="s">
        <v>396</v>
      </c>
      <c r="E36" s="16" t="str">
        <f t="shared" si="0"/>
        <v>03-18M-WB</v>
      </c>
      <c r="F36" s="16" t="b">
        <f t="shared" si="2"/>
        <v>0</v>
      </c>
      <c r="G36">
        <v>-76.415925999999999</v>
      </c>
      <c r="H36">
        <v>42.922840000000001</v>
      </c>
      <c r="I36">
        <v>21</v>
      </c>
      <c r="J36" t="s">
        <v>369</v>
      </c>
      <c r="K36" t="s">
        <v>360</v>
      </c>
      <c r="Q36">
        <v>135</v>
      </c>
      <c r="S36">
        <v>2</v>
      </c>
      <c r="T36" t="s">
        <v>352</v>
      </c>
      <c r="U36" t="s">
        <v>355</v>
      </c>
      <c r="W36" t="s">
        <v>385</v>
      </c>
    </row>
    <row r="37" spans="1:23" x14ac:dyDescent="0.25">
      <c r="A37" t="s">
        <v>100</v>
      </c>
      <c r="B37" s="14">
        <v>15.489000000000001</v>
      </c>
      <c r="C37" s="16" t="s">
        <v>419</v>
      </c>
      <c r="D37" s="16" t="s">
        <v>396</v>
      </c>
      <c r="E37" s="16" t="str">
        <f t="shared" si="0"/>
        <v>03-24M-EA</v>
      </c>
      <c r="F37" s="16" t="b">
        <f t="shared" si="2"/>
        <v>0</v>
      </c>
      <c r="G37">
        <v>-76.418719999999993</v>
      </c>
      <c r="H37">
        <v>42.922800000000002</v>
      </c>
      <c r="I37">
        <v>24</v>
      </c>
      <c r="J37" t="s">
        <v>369</v>
      </c>
      <c r="K37" t="s">
        <v>359</v>
      </c>
      <c r="Q37">
        <v>239</v>
      </c>
      <c r="S37">
        <v>2</v>
      </c>
      <c r="T37" t="s">
        <v>352</v>
      </c>
      <c r="U37" t="s">
        <v>355</v>
      </c>
      <c r="V37">
        <v>124</v>
      </c>
      <c r="W37" t="s">
        <v>385</v>
      </c>
    </row>
    <row r="38" spans="1:23" x14ac:dyDescent="0.25">
      <c r="A38" t="s">
        <v>262</v>
      </c>
      <c r="B38" s="14">
        <v>28.721</v>
      </c>
      <c r="C38" s="16" t="s">
        <v>420</v>
      </c>
      <c r="D38" s="16" t="s">
        <v>396</v>
      </c>
      <c r="E38" s="16" t="str">
        <f t="shared" si="0"/>
        <v>03-24M-WA</v>
      </c>
      <c r="F38" s="16" t="b">
        <f t="shared" si="2"/>
        <v>0</v>
      </c>
      <c r="G38">
        <v>-76.418719999999993</v>
      </c>
      <c r="H38">
        <v>42.922800000000002</v>
      </c>
      <c r="I38">
        <v>24</v>
      </c>
      <c r="J38" t="s">
        <v>369</v>
      </c>
      <c r="K38" t="s">
        <v>360</v>
      </c>
      <c r="Q38">
        <v>295</v>
      </c>
      <c r="S38">
        <v>2</v>
      </c>
      <c r="T38" t="s">
        <v>352</v>
      </c>
      <c r="U38" t="s">
        <v>355</v>
      </c>
      <c r="W38" t="s">
        <v>385</v>
      </c>
    </row>
    <row r="39" spans="1:23" x14ac:dyDescent="0.25">
      <c r="A39" t="s">
        <v>12</v>
      </c>
      <c r="B39" s="14">
        <v>14.407999999999999</v>
      </c>
      <c r="C39" s="16" t="s">
        <v>421</v>
      </c>
      <c r="D39" s="16" t="s">
        <v>396</v>
      </c>
      <c r="E39" s="16" t="str">
        <f t="shared" si="0"/>
        <v>03-29M-WA</v>
      </c>
      <c r="F39" s="16" t="b">
        <f t="shared" si="2"/>
        <v>0</v>
      </c>
      <c r="G39">
        <v>-76.346198000000001</v>
      </c>
      <c r="H39">
        <v>42.833731999999998</v>
      </c>
      <c r="I39">
        <v>2</v>
      </c>
      <c r="J39" t="s">
        <v>361</v>
      </c>
      <c r="K39" t="s">
        <v>359</v>
      </c>
      <c r="L39">
        <v>85</v>
      </c>
      <c r="M39">
        <v>77</v>
      </c>
      <c r="N39">
        <v>2</v>
      </c>
      <c r="O39" t="s">
        <v>357</v>
      </c>
      <c r="P39" t="s">
        <v>355</v>
      </c>
      <c r="Q39">
        <v>0</v>
      </c>
      <c r="S39">
        <v>2</v>
      </c>
      <c r="T39" t="s">
        <v>352</v>
      </c>
      <c r="U39" t="s">
        <v>356</v>
      </c>
      <c r="V39">
        <v>9</v>
      </c>
      <c r="W39" t="s">
        <v>385</v>
      </c>
    </row>
    <row r="40" spans="1:23" x14ac:dyDescent="0.25">
      <c r="A40" t="s">
        <v>13</v>
      </c>
      <c r="B40" s="14">
        <v>43.189</v>
      </c>
      <c r="C40" s="16" t="s">
        <v>422</v>
      </c>
      <c r="D40" s="16" t="s">
        <v>396</v>
      </c>
      <c r="E40" s="16" t="str">
        <f t="shared" si="0"/>
        <v>03-31M-EA</v>
      </c>
      <c r="F40" s="16" t="b">
        <f t="shared" si="2"/>
        <v>0</v>
      </c>
      <c r="G40">
        <v>-76.346108000000001</v>
      </c>
      <c r="H40">
        <v>42.833632999999999</v>
      </c>
      <c r="I40">
        <v>2</v>
      </c>
      <c r="J40" t="s">
        <v>361</v>
      </c>
      <c r="K40" t="s">
        <v>360</v>
      </c>
      <c r="L40">
        <v>5</v>
      </c>
      <c r="M40">
        <v>10</v>
      </c>
      <c r="N40">
        <v>1</v>
      </c>
      <c r="O40" t="s">
        <v>357</v>
      </c>
      <c r="P40" t="s">
        <v>355</v>
      </c>
      <c r="Q40">
        <v>0</v>
      </c>
      <c r="S40">
        <v>2</v>
      </c>
      <c r="T40" t="s">
        <v>352</v>
      </c>
      <c r="U40" t="s">
        <v>356</v>
      </c>
      <c r="W40" t="s">
        <v>385</v>
      </c>
    </row>
    <row r="41" spans="1:23" x14ac:dyDescent="0.25">
      <c r="A41" t="s">
        <v>15</v>
      </c>
      <c r="B41" s="14">
        <v>12.359</v>
      </c>
      <c r="C41" s="16" t="s">
        <v>423</v>
      </c>
      <c r="D41" s="16" t="s">
        <v>396</v>
      </c>
      <c r="E41" s="16" t="str">
        <f t="shared" si="0"/>
        <v>03-38M-EA</v>
      </c>
      <c r="F41" s="16" t="b">
        <f t="shared" si="2"/>
        <v>0</v>
      </c>
      <c r="G41">
        <v>-76.346090000000004</v>
      </c>
      <c r="H41">
        <v>42.833731999999998</v>
      </c>
      <c r="I41">
        <v>3</v>
      </c>
      <c r="J41" t="s">
        <v>361</v>
      </c>
      <c r="K41" t="s">
        <v>359</v>
      </c>
      <c r="L41">
        <v>55</v>
      </c>
      <c r="M41">
        <v>44</v>
      </c>
      <c r="N41">
        <v>0</v>
      </c>
      <c r="O41" t="s">
        <v>352</v>
      </c>
      <c r="P41" t="s">
        <v>356</v>
      </c>
      <c r="Q41">
        <v>0</v>
      </c>
      <c r="S41">
        <v>2</v>
      </c>
      <c r="T41" t="s">
        <v>352</v>
      </c>
      <c r="U41" t="s">
        <v>356</v>
      </c>
      <c r="V41">
        <v>75</v>
      </c>
      <c r="W41" t="s">
        <v>385</v>
      </c>
    </row>
    <row r="42" spans="1:23" x14ac:dyDescent="0.25">
      <c r="A42" t="s">
        <v>16</v>
      </c>
      <c r="B42" s="14">
        <v>5.3959999999999999</v>
      </c>
      <c r="C42" s="16" t="s">
        <v>424</v>
      </c>
      <c r="D42" s="16" t="s">
        <v>396</v>
      </c>
      <c r="E42" s="16" t="str">
        <f t="shared" si="0"/>
        <v>03-39M-WA</v>
      </c>
      <c r="F42" s="16" t="b">
        <f t="shared" si="2"/>
        <v>0</v>
      </c>
      <c r="G42">
        <v>-76.412357</v>
      </c>
      <c r="H42">
        <v>42.894993999999997</v>
      </c>
      <c r="I42">
        <v>3</v>
      </c>
      <c r="J42" t="s">
        <v>361</v>
      </c>
      <c r="K42" t="s">
        <v>360</v>
      </c>
      <c r="L42">
        <v>98</v>
      </c>
      <c r="M42">
        <v>106</v>
      </c>
      <c r="N42">
        <v>1</v>
      </c>
      <c r="O42" t="s">
        <v>352</v>
      </c>
      <c r="P42" t="s">
        <v>354</v>
      </c>
      <c r="Q42">
        <v>0</v>
      </c>
      <c r="S42">
        <v>0</v>
      </c>
      <c r="T42" t="s">
        <v>352</v>
      </c>
      <c r="U42" t="s">
        <v>356</v>
      </c>
      <c r="W42" t="s">
        <v>385</v>
      </c>
    </row>
    <row r="43" spans="1:23" x14ac:dyDescent="0.25">
      <c r="A43" t="s">
        <v>19</v>
      </c>
      <c r="B43" s="14">
        <v>14.632</v>
      </c>
      <c r="C43" s="16" t="s">
        <v>425</v>
      </c>
      <c r="D43" s="16" t="s">
        <v>396</v>
      </c>
      <c r="E43" s="16" t="str">
        <f t="shared" si="0"/>
        <v>03-43M-EA</v>
      </c>
      <c r="F43" s="16" t="b">
        <f t="shared" si="2"/>
        <v>0</v>
      </c>
      <c r="G43">
        <v>-76.411861000000002</v>
      </c>
      <c r="H43">
        <v>42.894782999999997</v>
      </c>
      <c r="I43">
        <v>5</v>
      </c>
      <c r="J43" t="s">
        <v>361</v>
      </c>
      <c r="K43" t="s">
        <v>359</v>
      </c>
      <c r="L43">
        <v>190</v>
      </c>
      <c r="M43">
        <v>177</v>
      </c>
      <c r="N43">
        <v>1</v>
      </c>
      <c r="O43" t="s">
        <v>352</v>
      </c>
      <c r="P43" t="s">
        <v>353</v>
      </c>
      <c r="Q43">
        <v>0</v>
      </c>
      <c r="S43">
        <v>1</v>
      </c>
      <c r="T43" t="s">
        <v>352</v>
      </c>
      <c r="U43" t="s">
        <v>355</v>
      </c>
      <c r="V43">
        <v>779</v>
      </c>
      <c r="W43" t="s">
        <v>385</v>
      </c>
    </row>
    <row r="44" spans="1:23" x14ac:dyDescent="0.25">
      <c r="A44" t="s">
        <v>20</v>
      </c>
      <c r="B44" s="14">
        <v>27.594999999999999</v>
      </c>
      <c r="C44" s="16" t="s">
        <v>426</v>
      </c>
      <c r="D44" s="16" t="s">
        <v>427</v>
      </c>
      <c r="E44" s="16" t="str">
        <f t="shared" si="0"/>
        <v>03-45M-WA</v>
      </c>
      <c r="F44" s="16" t="b">
        <f t="shared" si="2"/>
        <v>0</v>
      </c>
      <c r="G44">
        <v>-76.411921000000007</v>
      </c>
      <c r="H44">
        <v>42.894919333333299</v>
      </c>
      <c r="I44">
        <v>5</v>
      </c>
      <c r="J44" t="s">
        <v>361</v>
      </c>
      <c r="K44" t="s">
        <v>360</v>
      </c>
      <c r="L44">
        <v>230</v>
      </c>
      <c r="M44">
        <v>63</v>
      </c>
      <c r="N44">
        <v>1</v>
      </c>
      <c r="O44" t="s">
        <v>352</v>
      </c>
      <c r="P44" t="s">
        <v>354</v>
      </c>
      <c r="Q44">
        <v>0</v>
      </c>
      <c r="S44">
        <v>0</v>
      </c>
      <c r="T44" t="s">
        <v>352</v>
      </c>
      <c r="U44" t="s">
        <v>355</v>
      </c>
      <c r="W44" t="s">
        <v>385</v>
      </c>
    </row>
    <row r="45" spans="1:23" x14ac:dyDescent="0.25">
      <c r="A45" t="s">
        <v>101</v>
      </c>
      <c r="B45" s="14">
        <v>20.312000000000001</v>
      </c>
      <c r="C45" s="16" t="s">
        <v>428</v>
      </c>
      <c r="D45" s="16" t="s">
        <v>427</v>
      </c>
      <c r="E45" s="16" t="str">
        <f t="shared" si="0"/>
        <v>03-45M-WB</v>
      </c>
      <c r="F45" s="16" t="b">
        <f t="shared" si="2"/>
        <v>0</v>
      </c>
      <c r="G45">
        <v>-76.411888000000005</v>
      </c>
      <c r="H45">
        <v>42.895125999999998</v>
      </c>
      <c r="I45">
        <v>7</v>
      </c>
      <c r="J45" t="s">
        <v>361</v>
      </c>
      <c r="K45" t="s">
        <v>359</v>
      </c>
      <c r="Q45">
        <v>68</v>
      </c>
      <c r="S45">
        <v>0</v>
      </c>
      <c r="T45" t="s">
        <v>352</v>
      </c>
      <c r="U45" t="s">
        <v>354</v>
      </c>
      <c r="V45">
        <v>590</v>
      </c>
      <c r="W45" t="s">
        <v>385</v>
      </c>
    </row>
    <row r="46" spans="1:23" x14ac:dyDescent="0.25">
      <c r="A46" t="s">
        <v>325</v>
      </c>
      <c r="B46" s="14">
        <v>18.533999999999999</v>
      </c>
      <c r="C46" s="16" t="s">
        <v>429</v>
      </c>
      <c r="D46" s="16" t="s">
        <v>427</v>
      </c>
      <c r="E46" s="16" t="str">
        <f t="shared" si="0"/>
        <v>03-52M-EA</v>
      </c>
      <c r="F46" s="16" t="b">
        <f t="shared" si="2"/>
        <v>0</v>
      </c>
      <c r="G46">
        <v>-76.411888000000005</v>
      </c>
      <c r="H46">
        <v>42.895125999999998</v>
      </c>
      <c r="I46">
        <v>7</v>
      </c>
      <c r="J46" t="s">
        <v>361</v>
      </c>
      <c r="K46" t="s">
        <v>360</v>
      </c>
      <c r="Q46">
        <v>69</v>
      </c>
      <c r="S46">
        <v>0</v>
      </c>
      <c r="T46" t="s">
        <v>352</v>
      </c>
      <c r="U46" t="s">
        <v>355</v>
      </c>
      <c r="W46" t="s">
        <v>385</v>
      </c>
    </row>
    <row r="47" spans="1:23" x14ac:dyDescent="0.25">
      <c r="A47" t="s">
        <v>25</v>
      </c>
      <c r="B47" s="14">
        <v>74.25</v>
      </c>
      <c r="C47" s="16" t="s">
        <v>430</v>
      </c>
      <c r="D47" s="16" t="s">
        <v>427</v>
      </c>
      <c r="E47" s="16" t="str">
        <f t="shared" si="0"/>
        <v>03-53M-WA</v>
      </c>
      <c r="F47" s="16" t="b">
        <f t="shared" si="2"/>
        <v>0</v>
      </c>
      <c r="G47">
        <v>-76.411698999999999</v>
      </c>
      <c r="H47">
        <v>42.894902000000002</v>
      </c>
      <c r="I47">
        <v>11</v>
      </c>
      <c r="J47" t="s">
        <v>361</v>
      </c>
      <c r="K47" t="s">
        <v>359</v>
      </c>
      <c r="L47">
        <v>295</v>
      </c>
      <c r="M47">
        <v>526</v>
      </c>
      <c r="N47">
        <v>2</v>
      </c>
      <c r="O47" t="s">
        <v>352</v>
      </c>
      <c r="P47" t="s">
        <v>355</v>
      </c>
      <c r="Q47">
        <v>217</v>
      </c>
      <c r="S47">
        <v>0</v>
      </c>
      <c r="T47" t="s">
        <v>352</v>
      </c>
      <c r="U47" t="s">
        <v>355</v>
      </c>
      <c r="V47">
        <v>211</v>
      </c>
      <c r="W47" t="s">
        <v>385</v>
      </c>
    </row>
    <row r="48" spans="1:23" x14ac:dyDescent="0.25">
      <c r="A48" t="s">
        <v>26</v>
      </c>
      <c r="B48" s="14">
        <v>60.398000000000003</v>
      </c>
      <c r="C48" s="16" t="s">
        <v>431</v>
      </c>
      <c r="D48" s="16" t="s">
        <v>391</v>
      </c>
      <c r="E48" s="16" t="str">
        <f t="shared" si="0"/>
        <v>04-01M-WA</v>
      </c>
      <c r="F48" s="16" t="b">
        <f t="shared" si="2"/>
        <v>0</v>
      </c>
      <c r="G48">
        <v>-76.411755999999997</v>
      </c>
      <c r="H48">
        <v>42.895016333333302</v>
      </c>
      <c r="I48">
        <v>11</v>
      </c>
      <c r="J48" t="s">
        <v>361</v>
      </c>
      <c r="K48" t="s">
        <v>360</v>
      </c>
      <c r="L48">
        <v>312</v>
      </c>
      <c r="M48">
        <v>525</v>
      </c>
      <c r="N48">
        <v>1</v>
      </c>
      <c r="O48" t="s">
        <v>352</v>
      </c>
      <c r="P48" t="s">
        <v>355</v>
      </c>
      <c r="Q48">
        <v>234</v>
      </c>
      <c r="S48">
        <v>0</v>
      </c>
      <c r="T48" t="s">
        <v>352</v>
      </c>
      <c r="U48" t="s">
        <v>355</v>
      </c>
      <c r="W48" t="s">
        <v>385</v>
      </c>
    </row>
    <row r="49" spans="1:23" x14ac:dyDescent="0.25">
      <c r="A49" t="s">
        <v>28</v>
      </c>
      <c r="B49" s="14">
        <v>17.524000000000001</v>
      </c>
      <c r="C49" s="16" t="s">
        <v>432</v>
      </c>
      <c r="D49" s="16" t="s">
        <v>391</v>
      </c>
      <c r="E49" s="16" t="str">
        <f t="shared" si="0"/>
        <v>04-01M-WB</v>
      </c>
      <c r="F49" s="16" t="b">
        <f t="shared" si="2"/>
        <v>0</v>
      </c>
      <c r="G49">
        <v>-76.411653999999999</v>
      </c>
      <c r="H49">
        <v>42.894987</v>
      </c>
      <c r="I49">
        <v>14</v>
      </c>
      <c r="J49" t="s">
        <v>361</v>
      </c>
      <c r="K49" t="s">
        <v>359</v>
      </c>
      <c r="L49">
        <v>336</v>
      </c>
      <c r="M49">
        <v>144</v>
      </c>
      <c r="N49">
        <v>1</v>
      </c>
      <c r="O49" t="s">
        <v>352</v>
      </c>
      <c r="P49" t="s">
        <v>355</v>
      </c>
      <c r="Q49">
        <v>221</v>
      </c>
      <c r="S49">
        <v>0</v>
      </c>
      <c r="T49" t="s">
        <v>352</v>
      </c>
      <c r="U49" t="s">
        <v>355</v>
      </c>
      <c r="W49" t="s">
        <v>385</v>
      </c>
    </row>
    <row r="50" spans="1:23" x14ac:dyDescent="0.25">
      <c r="A50" t="s">
        <v>29</v>
      </c>
      <c r="B50" s="14">
        <v>8.9369999999999994</v>
      </c>
      <c r="C50" s="16" t="s">
        <v>433</v>
      </c>
      <c r="D50" s="16" t="s">
        <v>391</v>
      </c>
      <c r="E50" s="16" t="str">
        <f t="shared" si="0"/>
        <v>04-02M-WA</v>
      </c>
      <c r="F50" s="16" t="b">
        <f t="shared" si="2"/>
        <v>0</v>
      </c>
      <c r="G50">
        <v>-76.411663000000004</v>
      </c>
      <c r="H50">
        <v>42.895015666666701</v>
      </c>
      <c r="I50">
        <v>14</v>
      </c>
      <c r="J50" t="s">
        <v>361</v>
      </c>
      <c r="K50" t="s">
        <v>360</v>
      </c>
      <c r="L50">
        <v>171</v>
      </c>
      <c r="M50">
        <v>356</v>
      </c>
      <c r="N50">
        <v>1</v>
      </c>
      <c r="O50" t="s">
        <v>352</v>
      </c>
      <c r="P50" t="s">
        <v>355</v>
      </c>
      <c r="Q50">
        <v>119</v>
      </c>
      <c r="S50">
        <v>0</v>
      </c>
      <c r="T50" t="s">
        <v>352</v>
      </c>
      <c r="U50" t="s">
        <v>355</v>
      </c>
      <c r="V50">
        <v>127</v>
      </c>
      <c r="W50" t="s">
        <v>385</v>
      </c>
    </row>
    <row r="51" spans="1:23" x14ac:dyDescent="0.25">
      <c r="A51" t="s">
        <v>263</v>
      </c>
      <c r="B51" s="14">
        <v>9.4090000000000007</v>
      </c>
      <c r="C51" s="16" t="s">
        <v>434</v>
      </c>
      <c r="D51" s="16" t="s">
        <v>391</v>
      </c>
      <c r="E51" s="16" t="str">
        <f t="shared" si="0"/>
        <v>04-02M-WB</v>
      </c>
      <c r="F51" s="16" t="b">
        <f t="shared" si="2"/>
        <v>0</v>
      </c>
      <c r="G51">
        <v>-76.411609484937102</v>
      </c>
      <c r="H51">
        <v>42.895070031418399</v>
      </c>
      <c r="I51">
        <v>17</v>
      </c>
      <c r="J51" t="s">
        <v>361</v>
      </c>
      <c r="K51" t="s">
        <v>359</v>
      </c>
      <c r="Q51">
        <v>771</v>
      </c>
      <c r="S51">
        <v>2</v>
      </c>
      <c r="T51" t="s">
        <v>352</v>
      </c>
      <c r="U51" t="s">
        <v>355</v>
      </c>
      <c r="W51" t="s">
        <v>385</v>
      </c>
    </row>
    <row r="52" spans="1:23" x14ac:dyDescent="0.25">
      <c r="A52" t="s">
        <v>102</v>
      </c>
      <c r="B52" s="14">
        <v>37.231000000000002</v>
      </c>
      <c r="C52" s="16" t="s">
        <v>435</v>
      </c>
      <c r="D52" s="16" t="s">
        <v>391</v>
      </c>
      <c r="E52" s="16" t="str">
        <f t="shared" si="0"/>
        <v>04-03M-EA</v>
      </c>
      <c r="F52" s="16" t="b">
        <f t="shared" si="2"/>
        <v>0</v>
      </c>
      <c r="G52">
        <v>-76.411598999999995</v>
      </c>
      <c r="H52">
        <v>42.895119000000001</v>
      </c>
      <c r="I52">
        <v>18</v>
      </c>
      <c r="J52" t="s">
        <v>361</v>
      </c>
      <c r="K52" t="s">
        <v>359</v>
      </c>
      <c r="Q52">
        <v>281</v>
      </c>
      <c r="S52">
        <v>2</v>
      </c>
      <c r="T52" t="s">
        <v>352</v>
      </c>
      <c r="U52" t="s">
        <v>355</v>
      </c>
      <c r="V52">
        <v>238</v>
      </c>
      <c r="W52" t="s">
        <v>385</v>
      </c>
    </row>
    <row r="53" spans="1:23" x14ac:dyDescent="0.25">
      <c r="A53" t="s">
        <v>264</v>
      </c>
      <c r="B53" s="14">
        <v>35.587000000000003</v>
      </c>
      <c r="C53" s="16" t="s">
        <v>436</v>
      </c>
      <c r="D53" s="16" t="s">
        <v>396</v>
      </c>
      <c r="E53" s="16" t="str">
        <f t="shared" si="0"/>
        <v>04-03M-EB</v>
      </c>
      <c r="F53" s="16" t="b">
        <f t="shared" si="2"/>
        <v>0</v>
      </c>
      <c r="G53">
        <v>-76.411598999999995</v>
      </c>
      <c r="H53">
        <v>42.895119000000001</v>
      </c>
      <c r="I53">
        <v>18</v>
      </c>
      <c r="J53" t="s">
        <v>361</v>
      </c>
      <c r="K53" t="s">
        <v>360</v>
      </c>
      <c r="Q53">
        <v>258</v>
      </c>
      <c r="S53">
        <v>2</v>
      </c>
      <c r="T53" t="s">
        <v>352</v>
      </c>
      <c r="U53" t="s">
        <v>355</v>
      </c>
      <c r="W53" t="s">
        <v>385</v>
      </c>
    </row>
    <row r="54" spans="1:23" x14ac:dyDescent="0.25">
      <c r="A54" t="s">
        <v>103</v>
      </c>
      <c r="B54" s="14">
        <v>16.129000000000001</v>
      </c>
      <c r="C54" s="16" t="s">
        <v>437</v>
      </c>
      <c r="D54" s="16" t="s">
        <v>391</v>
      </c>
      <c r="E54" s="16" t="str">
        <f t="shared" si="0"/>
        <v>04-03M-WA</v>
      </c>
      <c r="F54" s="16" t="b">
        <f t="shared" si="2"/>
        <v>0</v>
      </c>
      <c r="G54">
        <v>-76.392464000000004</v>
      </c>
      <c r="H54">
        <v>42.895046999999998</v>
      </c>
      <c r="I54">
        <v>24</v>
      </c>
      <c r="J54" t="s">
        <v>361</v>
      </c>
      <c r="K54" t="s">
        <v>359</v>
      </c>
      <c r="Q54">
        <v>308</v>
      </c>
      <c r="S54">
        <v>2</v>
      </c>
      <c r="T54" t="s">
        <v>352</v>
      </c>
      <c r="U54" t="s">
        <v>355</v>
      </c>
      <c r="V54">
        <v>281</v>
      </c>
      <c r="W54" t="s">
        <v>385</v>
      </c>
    </row>
    <row r="55" spans="1:23" x14ac:dyDescent="0.25">
      <c r="A55" t="s">
        <v>326</v>
      </c>
      <c r="B55" s="14">
        <v>10.622</v>
      </c>
      <c r="C55" s="16" t="s">
        <v>438</v>
      </c>
      <c r="D55" s="16" t="s">
        <v>396</v>
      </c>
      <c r="E55" s="16" t="str">
        <f t="shared" si="0"/>
        <v>04-08M-WA</v>
      </c>
      <c r="F55" s="16" t="b">
        <f t="shared" si="2"/>
        <v>0</v>
      </c>
      <c r="G55">
        <v>-76.392464000000004</v>
      </c>
      <c r="H55">
        <v>42.895046999999998</v>
      </c>
      <c r="I55">
        <v>24</v>
      </c>
      <c r="J55" t="s">
        <v>361</v>
      </c>
      <c r="K55" t="s">
        <v>360</v>
      </c>
      <c r="Q55">
        <v>0</v>
      </c>
      <c r="S55">
        <v>2</v>
      </c>
      <c r="T55" t="s">
        <v>352</v>
      </c>
      <c r="U55" t="s">
        <v>355</v>
      </c>
      <c r="W55" t="s">
        <v>385</v>
      </c>
    </row>
    <row r="56" spans="1:23" x14ac:dyDescent="0.25">
      <c r="A56" t="s">
        <v>104</v>
      </c>
      <c r="B56" s="14">
        <v>22.722000000000001</v>
      </c>
      <c r="C56" s="16" t="s">
        <v>439</v>
      </c>
      <c r="D56" s="16" t="s">
        <v>396</v>
      </c>
      <c r="E56" s="16" t="str">
        <f t="shared" si="0"/>
        <v>04-08M-WB</v>
      </c>
      <c r="F56" s="16" t="b">
        <f t="shared" si="2"/>
        <v>0</v>
      </c>
      <c r="G56">
        <v>-76.411185000000003</v>
      </c>
      <c r="H56">
        <v>42.895007</v>
      </c>
      <c r="I56">
        <v>24</v>
      </c>
      <c r="J56" t="s">
        <v>361</v>
      </c>
      <c r="K56" t="s">
        <v>359</v>
      </c>
      <c r="Q56">
        <v>268</v>
      </c>
      <c r="S56">
        <v>2</v>
      </c>
      <c r="T56" t="s">
        <v>352</v>
      </c>
      <c r="U56" t="s">
        <v>355</v>
      </c>
      <c r="V56">
        <v>298</v>
      </c>
      <c r="W56" t="s">
        <v>385</v>
      </c>
    </row>
    <row r="57" spans="1:23" x14ac:dyDescent="0.25">
      <c r="A57" t="s">
        <v>105</v>
      </c>
      <c r="B57" s="14">
        <v>16.890999999999998</v>
      </c>
      <c r="C57" s="16" t="s">
        <v>440</v>
      </c>
      <c r="D57" s="16" t="s">
        <v>396</v>
      </c>
      <c r="E57" s="16" t="str">
        <f t="shared" si="0"/>
        <v>04-10M-EA</v>
      </c>
      <c r="F57" s="16" t="b">
        <f t="shared" si="2"/>
        <v>0</v>
      </c>
      <c r="G57">
        <v>-76.410652999999996</v>
      </c>
      <c r="H57">
        <v>42.894953999999998</v>
      </c>
      <c r="I57">
        <v>29</v>
      </c>
      <c r="J57" t="s">
        <v>361</v>
      </c>
      <c r="K57" t="s">
        <v>359</v>
      </c>
      <c r="Q57">
        <v>199</v>
      </c>
      <c r="S57">
        <v>2</v>
      </c>
      <c r="T57" t="s">
        <v>352</v>
      </c>
      <c r="U57" t="s">
        <v>355</v>
      </c>
      <c r="V57">
        <v>173</v>
      </c>
      <c r="W57" t="s">
        <v>385</v>
      </c>
    </row>
    <row r="58" spans="1:23" x14ac:dyDescent="0.25">
      <c r="A58" t="s">
        <v>106</v>
      </c>
      <c r="B58" s="14">
        <v>4.84</v>
      </c>
      <c r="C58" s="16" t="s">
        <v>441</v>
      </c>
      <c r="D58" s="16" t="s">
        <v>391</v>
      </c>
      <c r="E58" s="16" t="str">
        <f t="shared" si="0"/>
        <v>04-10M-EB</v>
      </c>
      <c r="F58" s="16" t="b">
        <f t="shared" si="2"/>
        <v>0</v>
      </c>
      <c r="G58">
        <v>-76.392968999999994</v>
      </c>
      <c r="H58">
        <v>42.89508</v>
      </c>
      <c r="I58">
        <v>31</v>
      </c>
      <c r="J58" t="s">
        <v>361</v>
      </c>
      <c r="K58" t="s">
        <v>359</v>
      </c>
      <c r="Q58">
        <v>277</v>
      </c>
      <c r="S58">
        <v>2</v>
      </c>
      <c r="T58" t="s">
        <v>352</v>
      </c>
      <c r="U58" t="s">
        <v>355</v>
      </c>
      <c r="V58">
        <v>62</v>
      </c>
      <c r="W58" t="s">
        <v>385</v>
      </c>
    </row>
    <row r="59" spans="1:23" x14ac:dyDescent="0.25">
      <c r="A59" t="s">
        <v>107</v>
      </c>
      <c r="B59" s="14">
        <v>5.6989999999999998</v>
      </c>
      <c r="C59" s="16" t="s">
        <v>442</v>
      </c>
      <c r="D59" s="16" t="s">
        <v>396</v>
      </c>
      <c r="E59" s="16" t="str">
        <f t="shared" si="0"/>
        <v>04-11M-WA</v>
      </c>
      <c r="F59" s="16" t="b">
        <f t="shared" si="2"/>
        <v>0</v>
      </c>
      <c r="G59">
        <v>-76.394068000000004</v>
      </c>
      <c r="H59">
        <v>42.895007</v>
      </c>
      <c r="I59">
        <v>38</v>
      </c>
      <c r="J59" t="s">
        <v>361</v>
      </c>
      <c r="K59" t="s">
        <v>359</v>
      </c>
      <c r="Q59">
        <v>146</v>
      </c>
      <c r="S59">
        <v>2</v>
      </c>
      <c r="T59" t="s">
        <v>352</v>
      </c>
      <c r="U59" t="s">
        <v>355</v>
      </c>
      <c r="V59">
        <v>45</v>
      </c>
      <c r="W59" t="s">
        <v>385</v>
      </c>
    </row>
    <row r="60" spans="1:23" x14ac:dyDescent="0.25">
      <c r="A60" t="s">
        <v>108</v>
      </c>
      <c r="B60" s="14">
        <v>17.614999999999998</v>
      </c>
      <c r="C60" s="16" t="s">
        <v>443</v>
      </c>
      <c r="D60" s="16" t="s">
        <v>396</v>
      </c>
      <c r="E60" s="16" t="str">
        <f t="shared" si="0"/>
        <v>04-11M-WB</v>
      </c>
      <c r="F60" s="16" t="b">
        <f t="shared" si="2"/>
        <v>0</v>
      </c>
      <c r="G60">
        <v>-76.410166000000004</v>
      </c>
      <c r="H60">
        <v>42.894981000000001</v>
      </c>
      <c r="I60">
        <v>39</v>
      </c>
      <c r="J60" t="s">
        <v>361</v>
      </c>
      <c r="K60" t="s">
        <v>359</v>
      </c>
      <c r="Q60">
        <v>98</v>
      </c>
      <c r="S60">
        <v>2</v>
      </c>
      <c r="T60" t="s">
        <v>352</v>
      </c>
      <c r="U60" t="s">
        <v>355</v>
      </c>
      <c r="V60">
        <v>23</v>
      </c>
      <c r="W60" t="s">
        <v>385</v>
      </c>
    </row>
    <row r="61" spans="1:23" x14ac:dyDescent="0.25">
      <c r="A61" t="s">
        <v>265</v>
      </c>
      <c r="B61" s="14">
        <v>13.266999999999999</v>
      </c>
      <c r="C61" s="16" t="s">
        <v>444</v>
      </c>
      <c r="D61" s="16" t="s">
        <v>396</v>
      </c>
      <c r="E61" s="16" t="str">
        <f t="shared" si="0"/>
        <v>04-13M-EA</v>
      </c>
      <c r="F61" s="16" t="b">
        <f t="shared" si="2"/>
        <v>0</v>
      </c>
      <c r="G61">
        <v>-76.394807999999998</v>
      </c>
      <c r="H61">
        <v>42.894967999999999</v>
      </c>
      <c r="I61">
        <v>43</v>
      </c>
      <c r="J61" t="s">
        <v>361</v>
      </c>
      <c r="K61" t="s">
        <v>359</v>
      </c>
      <c r="Q61">
        <v>135</v>
      </c>
      <c r="S61">
        <v>2</v>
      </c>
      <c r="T61" t="s">
        <v>352</v>
      </c>
      <c r="U61" t="s">
        <v>355</v>
      </c>
      <c r="V61">
        <v>48</v>
      </c>
      <c r="W61" t="s">
        <v>385</v>
      </c>
    </row>
    <row r="62" spans="1:23" x14ac:dyDescent="0.25">
      <c r="A62" t="s">
        <v>110</v>
      </c>
      <c r="B62" s="14">
        <v>44.173999999999999</v>
      </c>
      <c r="C62" s="16" t="s">
        <v>445</v>
      </c>
      <c r="D62" s="16" t="s">
        <v>396</v>
      </c>
      <c r="E62" s="16" t="str">
        <f t="shared" si="0"/>
        <v>04-13M-EB</v>
      </c>
      <c r="F62" s="16" t="b">
        <f t="shared" si="2"/>
        <v>0</v>
      </c>
      <c r="G62">
        <v>-76.409561999999994</v>
      </c>
      <c r="H62">
        <v>42.894902000000002</v>
      </c>
      <c r="I62">
        <v>45</v>
      </c>
      <c r="J62" t="s">
        <v>361</v>
      </c>
      <c r="K62" t="s">
        <v>359</v>
      </c>
      <c r="Q62">
        <v>73</v>
      </c>
      <c r="S62">
        <v>2</v>
      </c>
      <c r="T62" t="s">
        <v>352</v>
      </c>
      <c r="U62" t="s">
        <v>355</v>
      </c>
      <c r="V62">
        <v>115</v>
      </c>
      <c r="W62" t="s">
        <v>385</v>
      </c>
    </row>
    <row r="63" spans="1:23" x14ac:dyDescent="0.25">
      <c r="A63" t="s">
        <v>266</v>
      </c>
      <c r="B63" s="14">
        <v>40.923999999999999</v>
      </c>
      <c r="C63" s="16" t="s">
        <v>446</v>
      </c>
      <c r="D63" s="16" t="s">
        <v>396</v>
      </c>
      <c r="E63" s="16" t="str">
        <f t="shared" si="0"/>
        <v>04-14M-WA</v>
      </c>
      <c r="F63" s="16" t="b">
        <f t="shared" si="2"/>
        <v>0</v>
      </c>
      <c r="G63">
        <v>-76.409561999999994</v>
      </c>
      <c r="H63">
        <v>42.894902000000002</v>
      </c>
      <c r="I63">
        <v>45</v>
      </c>
      <c r="J63" t="s">
        <v>361</v>
      </c>
      <c r="K63" t="s">
        <v>360</v>
      </c>
      <c r="Q63">
        <v>146</v>
      </c>
      <c r="S63">
        <v>2</v>
      </c>
      <c r="T63" t="s">
        <v>352</v>
      </c>
      <c r="U63" t="s">
        <v>379</v>
      </c>
      <c r="W63" t="s">
        <v>385</v>
      </c>
    </row>
    <row r="64" spans="1:23" x14ac:dyDescent="0.25">
      <c r="A64" t="s">
        <v>111</v>
      </c>
      <c r="B64" s="14">
        <v>78.769000000000005</v>
      </c>
      <c r="C64" s="16" t="s">
        <v>447</v>
      </c>
      <c r="D64" s="16" t="s">
        <v>396</v>
      </c>
      <c r="E64" s="16" t="str">
        <f t="shared" si="0"/>
        <v>04-14M-WB</v>
      </c>
      <c r="F64" s="16" t="b">
        <f t="shared" si="2"/>
        <v>0</v>
      </c>
      <c r="G64">
        <v>-76.397132294201398</v>
      </c>
      <c r="H64">
        <v>42.895041392865899</v>
      </c>
      <c r="I64">
        <v>52</v>
      </c>
      <c r="J64" t="s">
        <v>361</v>
      </c>
      <c r="K64" t="s">
        <v>359</v>
      </c>
      <c r="Q64">
        <v>45</v>
      </c>
      <c r="S64">
        <v>2</v>
      </c>
      <c r="T64" t="s">
        <v>352</v>
      </c>
      <c r="U64" t="s">
        <v>355</v>
      </c>
      <c r="V64">
        <v>29</v>
      </c>
      <c r="W64" t="s">
        <v>385</v>
      </c>
    </row>
    <row r="65" spans="1:23" x14ac:dyDescent="0.25">
      <c r="A65" t="s">
        <v>113</v>
      </c>
      <c r="B65" s="14">
        <v>84.2</v>
      </c>
      <c r="C65" s="16" t="s">
        <v>448</v>
      </c>
      <c r="D65" s="16" t="s">
        <v>396</v>
      </c>
      <c r="E65" s="16" t="str">
        <f t="shared" si="0"/>
        <v>04-17M-EA</v>
      </c>
      <c r="F65" s="16" t="b">
        <f t="shared" si="2"/>
        <v>0</v>
      </c>
      <c r="G65">
        <v>-76.408472000000003</v>
      </c>
      <c r="H65">
        <v>42.895066999999997</v>
      </c>
      <c r="I65">
        <v>53</v>
      </c>
      <c r="J65" t="s">
        <v>361</v>
      </c>
      <c r="K65" t="s">
        <v>359</v>
      </c>
      <c r="Q65">
        <v>38</v>
      </c>
      <c r="S65">
        <v>2</v>
      </c>
      <c r="T65" t="s">
        <v>352</v>
      </c>
      <c r="U65" t="s">
        <v>355</v>
      </c>
      <c r="V65">
        <v>30</v>
      </c>
      <c r="W65" t="s">
        <v>385</v>
      </c>
    </row>
    <row r="66" spans="1:23" x14ac:dyDescent="0.25">
      <c r="A66" t="s">
        <v>267</v>
      </c>
      <c r="B66" s="14">
        <v>37.591999999999999</v>
      </c>
      <c r="C66" s="16" t="s">
        <v>449</v>
      </c>
      <c r="D66" s="16" t="s">
        <v>396</v>
      </c>
      <c r="E66" s="16" t="str">
        <f t="shared" si="0"/>
        <v>04-17M-EB</v>
      </c>
      <c r="F66" s="16" t="b">
        <f t="shared" si="2"/>
        <v>0</v>
      </c>
      <c r="G66">
        <v>-76.397060999999994</v>
      </c>
      <c r="H66">
        <v>42.860402999999998</v>
      </c>
      <c r="I66">
        <v>1</v>
      </c>
      <c r="J66" t="s">
        <v>371</v>
      </c>
      <c r="K66" t="s">
        <v>359</v>
      </c>
      <c r="Q66">
        <v>116</v>
      </c>
      <c r="S66">
        <v>1</v>
      </c>
      <c r="T66" t="s">
        <v>357</v>
      </c>
      <c r="U66" t="s">
        <v>355</v>
      </c>
      <c r="W66" t="s">
        <v>385</v>
      </c>
    </row>
    <row r="67" spans="1:23" x14ac:dyDescent="0.25">
      <c r="A67" t="s">
        <v>268</v>
      </c>
      <c r="B67" s="14">
        <v>40.130000000000003</v>
      </c>
      <c r="C67" s="16" t="s">
        <v>450</v>
      </c>
      <c r="D67" s="16" t="s">
        <v>396</v>
      </c>
      <c r="E67" s="16" t="str">
        <f t="shared" si="0"/>
        <v>04-17M-WA</v>
      </c>
      <c r="F67" s="16" t="b">
        <f t="shared" si="2"/>
        <v>0</v>
      </c>
      <c r="G67">
        <v>-76.397060999999994</v>
      </c>
      <c r="H67">
        <v>42.860402999999998</v>
      </c>
      <c r="I67">
        <v>1</v>
      </c>
      <c r="J67" t="s">
        <v>371</v>
      </c>
      <c r="K67" t="s">
        <v>360</v>
      </c>
      <c r="Q67">
        <v>146</v>
      </c>
      <c r="S67">
        <v>1</v>
      </c>
      <c r="T67" t="s">
        <v>357</v>
      </c>
      <c r="U67" t="s">
        <v>355</v>
      </c>
      <c r="W67" t="s">
        <v>385</v>
      </c>
    </row>
    <row r="68" spans="1:23" x14ac:dyDescent="0.25">
      <c r="A68" t="s">
        <v>327</v>
      </c>
      <c r="B68" s="14">
        <v>37.768999999999998</v>
      </c>
      <c r="C68" s="16" t="s">
        <v>451</v>
      </c>
      <c r="D68" s="16" t="s">
        <v>396</v>
      </c>
      <c r="E68" s="16" t="str">
        <f t="shared" si="0"/>
        <v>04-17M-WB</v>
      </c>
      <c r="F68" s="16" t="b">
        <f t="shared" si="2"/>
        <v>0</v>
      </c>
      <c r="G68">
        <v>-76.397060999999994</v>
      </c>
      <c r="H68">
        <v>42.860402999999998</v>
      </c>
      <c r="I68">
        <v>1</v>
      </c>
      <c r="J68" t="s">
        <v>371</v>
      </c>
      <c r="K68" t="s">
        <v>366</v>
      </c>
      <c r="Q68">
        <v>13</v>
      </c>
      <c r="S68">
        <v>0</v>
      </c>
      <c r="T68" t="s">
        <v>357</v>
      </c>
      <c r="U68" t="s">
        <v>353</v>
      </c>
      <c r="W68" t="s">
        <v>385</v>
      </c>
    </row>
    <row r="69" spans="1:23" x14ac:dyDescent="0.25">
      <c r="A69" t="s">
        <v>115</v>
      </c>
      <c r="B69" s="14">
        <v>84.23</v>
      </c>
      <c r="C69" s="16" t="s">
        <v>452</v>
      </c>
      <c r="D69" s="16" t="s">
        <v>453</v>
      </c>
      <c r="E69" s="16" t="str">
        <f t="shared" si="0"/>
        <v>04-21M-EA</v>
      </c>
      <c r="F69" s="16" t="b">
        <f t="shared" si="2"/>
        <v>0</v>
      </c>
      <c r="G69">
        <v>-76.396862999999996</v>
      </c>
      <c r="H69">
        <v>42.860430000000001</v>
      </c>
      <c r="I69">
        <v>2</v>
      </c>
      <c r="J69" t="s">
        <v>371</v>
      </c>
      <c r="K69" t="s">
        <v>359</v>
      </c>
      <c r="Q69">
        <v>141</v>
      </c>
      <c r="S69">
        <v>1</v>
      </c>
      <c r="T69" t="s">
        <v>357</v>
      </c>
      <c r="U69" t="s">
        <v>354</v>
      </c>
      <c r="V69">
        <v>77</v>
      </c>
      <c r="W69" t="s">
        <v>385</v>
      </c>
    </row>
    <row r="70" spans="1:23" x14ac:dyDescent="0.25">
      <c r="A70" t="s">
        <v>269</v>
      </c>
      <c r="B70" s="14">
        <v>41.101999999999997</v>
      </c>
      <c r="C70" s="16" t="s">
        <v>454</v>
      </c>
      <c r="D70" s="16" t="s">
        <v>396</v>
      </c>
      <c r="E70" s="16" t="str">
        <f t="shared" si="0"/>
        <v>04-22M-EA</v>
      </c>
      <c r="F70" s="16" t="b">
        <f t="shared" si="2"/>
        <v>0</v>
      </c>
      <c r="G70">
        <v>-76.396862999999996</v>
      </c>
      <c r="H70">
        <v>42.860430000000001</v>
      </c>
      <c r="I70">
        <v>2</v>
      </c>
      <c r="J70" t="s">
        <v>371</v>
      </c>
      <c r="K70" t="s">
        <v>360</v>
      </c>
      <c r="Q70">
        <v>93</v>
      </c>
      <c r="S70">
        <v>0</v>
      </c>
      <c r="T70" t="s">
        <v>357</v>
      </c>
      <c r="U70" t="s">
        <v>354</v>
      </c>
      <c r="W70" t="s">
        <v>385</v>
      </c>
    </row>
    <row r="71" spans="1:23" x14ac:dyDescent="0.25">
      <c r="A71" t="s">
        <v>116</v>
      </c>
      <c r="B71" s="14">
        <v>53.997</v>
      </c>
      <c r="C71" s="16" t="s">
        <v>455</v>
      </c>
      <c r="D71" s="16" t="s">
        <v>396</v>
      </c>
      <c r="E71" s="16" t="str">
        <f t="shared" si="0"/>
        <v>04-22M-WA</v>
      </c>
      <c r="F71" s="16" t="b">
        <f t="shared" si="2"/>
        <v>0</v>
      </c>
      <c r="G71">
        <v>-76.360286000000002</v>
      </c>
      <c r="H71">
        <v>42.861507000000003</v>
      </c>
      <c r="I71">
        <v>3</v>
      </c>
      <c r="J71" t="s">
        <v>371</v>
      </c>
      <c r="K71" t="s">
        <v>359</v>
      </c>
      <c r="Q71">
        <v>330</v>
      </c>
      <c r="S71">
        <v>2</v>
      </c>
      <c r="T71" t="s">
        <v>352</v>
      </c>
      <c r="U71" t="s">
        <v>355</v>
      </c>
      <c r="V71">
        <v>233</v>
      </c>
      <c r="W71" t="s">
        <v>385</v>
      </c>
    </row>
    <row r="72" spans="1:23" x14ac:dyDescent="0.25">
      <c r="A72" t="s">
        <v>270</v>
      </c>
      <c r="B72" s="14">
        <v>37.713999999999999</v>
      </c>
      <c r="C72" s="16" t="s">
        <v>456</v>
      </c>
      <c r="D72" s="16" t="s">
        <v>396</v>
      </c>
      <c r="E72" s="16" t="str">
        <f t="shared" ref="E72:E135" si="3">RIGHT(C72,9)</f>
        <v>04-22M-WB</v>
      </c>
      <c r="F72" s="16" t="b">
        <f t="shared" si="2"/>
        <v>0</v>
      </c>
      <c r="G72">
        <v>-76.360286000000002</v>
      </c>
      <c r="H72">
        <v>42.861507000000003</v>
      </c>
      <c r="I72">
        <v>3</v>
      </c>
      <c r="J72" t="s">
        <v>371</v>
      </c>
      <c r="K72" t="s">
        <v>360</v>
      </c>
      <c r="Q72">
        <v>407</v>
      </c>
      <c r="S72">
        <v>2</v>
      </c>
      <c r="T72" t="s">
        <v>352</v>
      </c>
      <c r="U72" t="s">
        <v>355</v>
      </c>
      <c r="W72" t="s">
        <v>385</v>
      </c>
    </row>
    <row r="73" spans="1:23" x14ac:dyDescent="0.25">
      <c r="A73" t="s">
        <v>117</v>
      </c>
      <c r="B73" s="14">
        <v>34.618000000000002</v>
      </c>
      <c r="C73" s="16" t="s">
        <v>457</v>
      </c>
      <c r="D73" s="16" t="s">
        <v>396</v>
      </c>
      <c r="E73" s="16" t="str">
        <f t="shared" si="3"/>
        <v>04-24M-WA</v>
      </c>
      <c r="F73" s="16" t="b">
        <f t="shared" si="2"/>
        <v>0</v>
      </c>
      <c r="G73">
        <v>-76.396591999999998</v>
      </c>
      <c r="H73">
        <v>42.860554999999998</v>
      </c>
      <c r="I73">
        <v>3</v>
      </c>
      <c r="J73" t="s">
        <v>371</v>
      </c>
      <c r="K73" t="s">
        <v>359</v>
      </c>
      <c r="Q73">
        <v>82</v>
      </c>
      <c r="S73">
        <v>1</v>
      </c>
      <c r="T73" t="s">
        <v>352</v>
      </c>
      <c r="U73" t="s">
        <v>354</v>
      </c>
      <c r="V73">
        <v>39</v>
      </c>
      <c r="W73" t="s">
        <v>385</v>
      </c>
    </row>
    <row r="74" spans="1:23" x14ac:dyDescent="0.25">
      <c r="A74" t="s">
        <v>328</v>
      </c>
      <c r="B74" s="14">
        <v>28.606999999999999</v>
      </c>
      <c r="C74" s="16" t="s">
        <v>458</v>
      </c>
      <c r="D74" s="16" t="s">
        <v>396</v>
      </c>
      <c r="E74" s="16" t="str">
        <f t="shared" si="3"/>
        <v>04-31M-EA</v>
      </c>
      <c r="F74" s="16" t="b">
        <f t="shared" si="2"/>
        <v>0</v>
      </c>
      <c r="G74">
        <v>-76.396591999999998</v>
      </c>
      <c r="H74">
        <v>42.860554999999998</v>
      </c>
      <c r="I74">
        <v>3</v>
      </c>
      <c r="J74" t="s">
        <v>371</v>
      </c>
      <c r="K74" t="s">
        <v>360</v>
      </c>
      <c r="Q74">
        <v>32</v>
      </c>
      <c r="S74">
        <v>0</v>
      </c>
      <c r="T74" t="s">
        <v>352</v>
      </c>
      <c r="U74" t="s">
        <v>356</v>
      </c>
      <c r="W74" t="s">
        <v>385</v>
      </c>
    </row>
    <row r="75" spans="1:23" x14ac:dyDescent="0.25">
      <c r="A75" t="s">
        <v>118</v>
      </c>
      <c r="B75" s="14">
        <v>53.34</v>
      </c>
      <c r="C75" s="16" t="s">
        <v>459</v>
      </c>
      <c r="D75" s="16" t="s">
        <v>396</v>
      </c>
      <c r="E75" s="16" t="str">
        <f t="shared" si="3"/>
        <v>04-31M-WA</v>
      </c>
      <c r="F75" s="16" t="b">
        <f t="shared" si="2"/>
        <v>0</v>
      </c>
      <c r="G75">
        <v>-76.361412999999999</v>
      </c>
      <c r="H75">
        <v>42.861387999999998</v>
      </c>
      <c r="I75">
        <v>5</v>
      </c>
      <c r="J75" t="s">
        <v>371</v>
      </c>
      <c r="K75" t="s">
        <v>359</v>
      </c>
      <c r="Q75">
        <v>0</v>
      </c>
      <c r="S75">
        <v>0</v>
      </c>
      <c r="T75" t="s">
        <v>352</v>
      </c>
      <c r="U75" t="s">
        <v>356</v>
      </c>
      <c r="V75">
        <v>526</v>
      </c>
      <c r="W75" t="s">
        <v>385</v>
      </c>
    </row>
    <row r="76" spans="1:23" x14ac:dyDescent="0.25">
      <c r="A76" t="s">
        <v>329</v>
      </c>
      <c r="B76" s="14">
        <v>35.313000000000002</v>
      </c>
      <c r="C76" s="16" t="s">
        <v>460</v>
      </c>
      <c r="D76" s="16" t="s">
        <v>427</v>
      </c>
      <c r="E76" s="16" t="str">
        <f t="shared" si="3"/>
        <v>04-38M-EA</v>
      </c>
      <c r="F76" s="16" t="b">
        <f t="shared" si="2"/>
        <v>0</v>
      </c>
      <c r="G76">
        <v>-76.361412999999999</v>
      </c>
      <c r="H76">
        <v>42.861387999999998</v>
      </c>
      <c r="I76">
        <v>5</v>
      </c>
      <c r="J76" t="s">
        <v>371</v>
      </c>
      <c r="K76" t="s">
        <v>360</v>
      </c>
      <c r="Q76">
        <v>0</v>
      </c>
      <c r="S76">
        <v>0</v>
      </c>
      <c r="T76" t="s">
        <v>352</v>
      </c>
      <c r="U76" t="s">
        <v>356</v>
      </c>
      <c r="W76" t="s">
        <v>385</v>
      </c>
    </row>
    <row r="77" spans="1:23" x14ac:dyDescent="0.25">
      <c r="A77" t="s">
        <v>31</v>
      </c>
      <c r="B77" s="14">
        <v>16.306000000000001</v>
      </c>
      <c r="C77" s="16" t="s">
        <v>461</v>
      </c>
      <c r="D77" s="16" t="s">
        <v>396</v>
      </c>
      <c r="E77" s="16" t="str">
        <f t="shared" si="3"/>
        <v>04-38M-WA</v>
      </c>
      <c r="F77" s="16" t="b">
        <f t="shared" si="2"/>
        <v>0</v>
      </c>
      <c r="G77">
        <v>-76.396331000000004</v>
      </c>
      <c r="H77">
        <v>42.860674000000003</v>
      </c>
      <c r="I77">
        <v>5</v>
      </c>
      <c r="J77" t="s">
        <v>371</v>
      </c>
      <c r="K77" t="s">
        <v>359</v>
      </c>
      <c r="L77">
        <v>16</v>
      </c>
      <c r="N77">
        <v>0</v>
      </c>
      <c r="Q77">
        <v>0</v>
      </c>
      <c r="S77">
        <v>0</v>
      </c>
      <c r="T77" t="s">
        <v>352</v>
      </c>
      <c r="U77" t="s">
        <v>356</v>
      </c>
      <c r="V77">
        <v>186</v>
      </c>
      <c r="W77" t="s">
        <v>385</v>
      </c>
    </row>
    <row r="78" spans="1:23" x14ac:dyDescent="0.25">
      <c r="A78" t="s">
        <v>32</v>
      </c>
      <c r="B78" s="14">
        <v>34.786999999999999</v>
      </c>
      <c r="C78" s="16" t="s">
        <v>462</v>
      </c>
      <c r="D78" s="16" t="s">
        <v>396</v>
      </c>
      <c r="E78" s="16" t="str">
        <f t="shared" si="3"/>
        <v>04-38M-WB</v>
      </c>
      <c r="F78" s="16" t="b">
        <f t="shared" si="2"/>
        <v>0</v>
      </c>
      <c r="G78">
        <v>-76.396331000000004</v>
      </c>
      <c r="H78">
        <v>42.860674000000003</v>
      </c>
      <c r="I78">
        <v>5</v>
      </c>
      <c r="J78" t="s">
        <v>371</v>
      </c>
      <c r="K78" t="s">
        <v>360</v>
      </c>
      <c r="L78">
        <v>54</v>
      </c>
      <c r="N78">
        <v>0</v>
      </c>
      <c r="Q78">
        <v>0</v>
      </c>
      <c r="S78">
        <v>0</v>
      </c>
      <c r="T78" t="s">
        <v>352</v>
      </c>
      <c r="U78" t="s">
        <v>356</v>
      </c>
      <c r="W78" t="s">
        <v>385</v>
      </c>
    </row>
    <row r="79" spans="1:23" x14ac:dyDescent="0.25">
      <c r="A79" t="s">
        <v>119</v>
      </c>
      <c r="B79" s="14">
        <v>17.657</v>
      </c>
      <c r="C79" s="16" t="s">
        <v>463</v>
      </c>
      <c r="D79" s="16" t="s">
        <v>427</v>
      </c>
      <c r="E79" s="16" t="str">
        <f t="shared" si="3"/>
        <v>04-43M-WA</v>
      </c>
      <c r="F79" s="16" t="b">
        <f t="shared" si="2"/>
        <v>0</v>
      </c>
      <c r="G79">
        <v>-76.361647000000005</v>
      </c>
      <c r="H79">
        <v>42.861142999999998</v>
      </c>
      <c r="I79">
        <v>8</v>
      </c>
      <c r="J79" t="s">
        <v>371</v>
      </c>
      <c r="K79" t="s">
        <v>359</v>
      </c>
      <c r="Q79">
        <v>0</v>
      </c>
      <c r="S79">
        <v>0</v>
      </c>
      <c r="T79" t="s">
        <v>352</v>
      </c>
      <c r="U79" t="s">
        <v>356</v>
      </c>
      <c r="V79">
        <v>628</v>
      </c>
      <c r="W79" t="s">
        <v>385</v>
      </c>
    </row>
    <row r="80" spans="1:23" x14ac:dyDescent="0.25">
      <c r="A80" t="s">
        <v>330</v>
      </c>
      <c r="B80" s="14">
        <v>11.356999999999999</v>
      </c>
      <c r="C80" s="16" t="s">
        <v>464</v>
      </c>
      <c r="D80" s="16" t="s">
        <v>427</v>
      </c>
      <c r="E80" s="16" t="str">
        <f t="shared" si="3"/>
        <v>04-46M-EA</v>
      </c>
      <c r="F80" s="16" t="b">
        <f t="shared" si="2"/>
        <v>0</v>
      </c>
      <c r="G80">
        <v>-76.361647000000005</v>
      </c>
      <c r="H80">
        <v>42.861142999999998</v>
      </c>
      <c r="I80">
        <v>8</v>
      </c>
      <c r="J80" t="s">
        <v>371</v>
      </c>
      <c r="K80" t="s">
        <v>360</v>
      </c>
      <c r="Q80">
        <v>0</v>
      </c>
      <c r="S80">
        <v>1</v>
      </c>
      <c r="T80" t="s">
        <v>352</v>
      </c>
      <c r="U80" t="s">
        <v>356</v>
      </c>
      <c r="W80" t="s">
        <v>385</v>
      </c>
    </row>
    <row r="81" spans="1:23" x14ac:dyDescent="0.25">
      <c r="A81" t="s">
        <v>120</v>
      </c>
      <c r="B81" s="14">
        <v>46.481999999999999</v>
      </c>
      <c r="C81" s="16" t="s">
        <v>465</v>
      </c>
      <c r="D81" s="16" t="s">
        <v>427</v>
      </c>
      <c r="E81" s="16" t="str">
        <f t="shared" si="3"/>
        <v>04-52M-EA</v>
      </c>
      <c r="F81" s="16" t="b">
        <f t="shared" si="2"/>
        <v>0</v>
      </c>
      <c r="G81">
        <v>-76.395853000000002</v>
      </c>
      <c r="H81">
        <v>42.861189000000003</v>
      </c>
      <c r="I81">
        <v>8</v>
      </c>
      <c r="J81" t="s">
        <v>371</v>
      </c>
      <c r="K81" t="s">
        <v>359</v>
      </c>
      <c r="Q81">
        <v>90</v>
      </c>
      <c r="S81">
        <v>1</v>
      </c>
      <c r="T81" t="s">
        <v>352</v>
      </c>
      <c r="U81" t="s">
        <v>355</v>
      </c>
      <c r="V81">
        <v>792</v>
      </c>
      <c r="W81" t="s">
        <v>385</v>
      </c>
    </row>
    <row r="82" spans="1:23" x14ac:dyDescent="0.25">
      <c r="A82" t="s">
        <v>271</v>
      </c>
      <c r="B82" s="14">
        <v>46.347000000000001</v>
      </c>
      <c r="C82" s="16" t="s">
        <v>466</v>
      </c>
      <c r="D82" s="16" t="s">
        <v>427</v>
      </c>
      <c r="E82" s="16" t="str">
        <f t="shared" si="3"/>
        <v>04-52M-WA</v>
      </c>
      <c r="F82" s="16" t="b">
        <f t="shared" si="2"/>
        <v>0</v>
      </c>
      <c r="G82">
        <v>-76.395853000000002</v>
      </c>
      <c r="H82">
        <v>42.861189000000003</v>
      </c>
      <c r="I82">
        <v>8</v>
      </c>
      <c r="J82" t="s">
        <v>371</v>
      </c>
      <c r="K82" t="s">
        <v>360</v>
      </c>
      <c r="Q82">
        <v>86</v>
      </c>
      <c r="S82">
        <v>1</v>
      </c>
      <c r="T82" t="s">
        <v>352</v>
      </c>
      <c r="U82" t="s">
        <v>355</v>
      </c>
      <c r="W82" t="s">
        <v>385</v>
      </c>
    </row>
    <row r="83" spans="1:23" x14ac:dyDescent="0.25">
      <c r="A83" t="s">
        <v>121</v>
      </c>
      <c r="B83" s="14">
        <v>42.76</v>
      </c>
      <c r="C83" s="16" t="s">
        <v>467</v>
      </c>
      <c r="D83" s="16" t="s">
        <v>416</v>
      </c>
      <c r="E83" s="16" t="str">
        <f t="shared" si="3"/>
        <v>05-14M-WA</v>
      </c>
      <c r="F83" s="16" t="b">
        <f t="shared" si="2"/>
        <v>0</v>
      </c>
      <c r="G83">
        <v>-76.361936</v>
      </c>
      <c r="H83">
        <v>42.861255999999997</v>
      </c>
      <c r="I83">
        <v>10</v>
      </c>
      <c r="J83" t="s">
        <v>371</v>
      </c>
      <c r="K83" t="s">
        <v>359</v>
      </c>
      <c r="Q83">
        <v>300</v>
      </c>
      <c r="S83">
        <v>2</v>
      </c>
      <c r="T83" t="s">
        <v>352</v>
      </c>
      <c r="U83" t="s">
        <v>355</v>
      </c>
      <c r="V83">
        <v>597</v>
      </c>
      <c r="W83" t="s">
        <v>385</v>
      </c>
    </row>
    <row r="84" spans="1:23" x14ac:dyDescent="0.25">
      <c r="A84" t="s">
        <v>272</v>
      </c>
      <c r="B84" s="14">
        <v>61.545999999999999</v>
      </c>
      <c r="C84" s="16" t="s">
        <v>468</v>
      </c>
      <c r="D84" s="16" t="s">
        <v>396</v>
      </c>
      <c r="E84" s="16" t="str">
        <f t="shared" si="3"/>
        <v>05-24M-EA</v>
      </c>
      <c r="F84" s="16" t="b">
        <f t="shared" si="2"/>
        <v>0</v>
      </c>
      <c r="G84">
        <v>-76.361936</v>
      </c>
      <c r="H84">
        <v>42.861255999999997</v>
      </c>
      <c r="I84">
        <v>10</v>
      </c>
      <c r="J84" t="s">
        <v>371</v>
      </c>
      <c r="K84" t="s">
        <v>360</v>
      </c>
      <c r="Q84">
        <v>120</v>
      </c>
      <c r="S84">
        <v>1</v>
      </c>
      <c r="T84" t="s">
        <v>352</v>
      </c>
      <c r="U84" t="s">
        <v>354</v>
      </c>
      <c r="W84" t="s">
        <v>385</v>
      </c>
    </row>
    <row r="85" spans="1:23" x14ac:dyDescent="0.25">
      <c r="A85" t="s">
        <v>243</v>
      </c>
      <c r="B85" s="14">
        <v>15.826000000000001</v>
      </c>
      <c r="C85" s="16" t="s">
        <v>469</v>
      </c>
      <c r="D85" s="16" t="s">
        <v>396</v>
      </c>
      <c r="E85" s="16" t="str">
        <f t="shared" si="3"/>
        <v>05-24M-EB</v>
      </c>
      <c r="F85" s="16" t="b">
        <f t="shared" si="2"/>
        <v>0</v>
      </c>
      <c r="G85">
        <v>-76.394419999999997</v>
      </c>
      <c r="H85">
        <v>42.861381000000002</v>
      </c>
      <c r="I85">
        <v>11</v>
      </c>
      <c r="J85" t="s">
        <v>371</v>
      </c>
      <c r="K85" t="s">
        <v>359</v>
      </c>
      <c r="Q85">
        <v>91</v>
      </c>
      <c r="S85">
        <v>1</v>
      </c>
      <c r="T85" t="s">
        <v>352</v>
      </c>
      <c r="U85" t="s">
        <v>355</v>
      </c>
      <c r="V85">
        <v>0</v>
      </c>
      <c r="W85" t="s">
        <v>385</v>
      </c>
    </row>
    <row r="86" spans="1:23" x14ac:dyDescent="0.25">
      <c r="A86" t="s">
        <v>273</v>
      </c>
      <c r="B86" s="14">
        <v>35.701999999999998</v>
      </c>
      <c r="C86" s="16" t="s">
        <v>470</v>
      </c>
      <c r="D86" s="16" t="s">
        <v>396</v>
      </c>
      <c r="E86" s="16" t="str">
        <f t="shared" si="3"/>
        <v>05-24M-WA</v>
      </c>
      <c r="F86" s="16" t="b">
        <f t="shared" ref="F86:F149" si="4">E86=A81</f>
        <v>0</v>
      </c>
      <c r="G86">
        <v>-76.394419999999997</v>
      </c>
      <c r="H86">
        <v>42.861381000000002</v>
      </c>
      <c r="I86">
        <v>11</v>
      </c>
      <c r="J86" t="s">
        <v>371</v>
      </c>
      <c r="K86" t="s">
        <v>360</v>
      </c>
      <c r="Q86">
        <v>94</v>
      </c>
      <c r="S86">
        <v>0</v>
      </c>
      <c r="T86" t="s">
        <v>352</v>
      </c>
      <c r="U86" t="s">
        <v>355</v>
      </c>
      <c r="W86" t="s">
        <v>385</v>
      </c>
    </row>
    <row r="87" spans="1:23" x14ac:dyDescent="0.25">
      <c r="A87" t="s">
        <v>122</v>
      </c>
      <c r="B87" s="14">
        <v>55.030999999999999</v>
      </c>
      <c r="C87" s="16" t="s">
        <v>471</v>
      </c>
      <c r="D87" s="16" t="s">
        <v>453</v>
      </c>
      <c r="E87" s="16" t="str">
        <f t="shared" si="3"/>
        <v>05-24M-WB</v>
      </c>
      <c r="F87" s="16" t="b">
        <f t="shared" si="4"/>
        <v>0</v>
      </c>
      <c r="G87">
        <v>-76.362143000000003</v>
      </c>
      <c r="H87">
        <v>42.861348</v>
      </c>
      <c r="I87">
        <v>13</v>
      </c>
      <c r="J87" t="s">
        <v>371</v>
      </c>
      <c r="K87" t="s">
        <v>359</v>
      </c>
      <c r="Q87">
        <v>73</v>
      </c>
      <c r="S87">
        <v>1</v>
      </c>
      <c r="T87" t="s">
        <v>352</v>
      </c>
      <c r="U87" t="s">
        <v>355</v>
      </c>
      <c r="V87">
        <v>239</v>
      </c>
      <c r="W87" t="s">
        <v>385</v>
      </c>
    </row>
    <row r="88" spans="1:23" x14ac:dyDescent="0.25">
      <c r="A88" t="s">
        <v>274</v>
      </c>
      <c r="B88" s="14">
        <v>37.701000000000001</v>
      </c>
      <c r="C88" s="16" t="s">
        <v>472</v>
      </c>
      <c r="D88" s="16" t="s">
        <v>453</v>
      </c>
      <c r="E88" s="16" t="str">
        <f t="shared" si="3"/>
        <v>05-31M-EA</v>
      </c>
      <c r="F88" s="16" t="b">
        <f t="shared" si="4"/>
        <v>0</v>
      </c>
      <c r="G88">
        <v>-76.362143000000003</v>
      </c>
      <c r="H88">
        <v>42.861348</v>
      </c>
      <c r="I88">
        <v>13</v>
      </c>
      <c r="J88" t="s">
        <v>371</v>
      </c>
      <c r="K88" t="s">
        <v>360</v>
      </c>
      <c r="Q88">
        <v>59</v>
      </c>
      <c r="S88">
        <v>1</v>
      </c>
      <c r="T88" t="s">
        <v>352</v>
      </c>
      <c r="U88" t="s">
        <v>355</v>
      </c>
      <c r="W88" t="s">
        <v>385</v>
      </c>
    </row>
    <row r="89" spans="1:23" x14ac:dyDescent="0.25">
      <c r="A89" t="s">
        <v>123</v>
      </c>
      <c r="B89" s="14">
        <v>47.04</v>
      </c>
      <c r="C89" s="16" t="s">
        <v>473</v>
      </c>
      <c r="D89" s="16" t="s">
        <v>453</v>
      </c>
      <c r="E89" s="16" t="str">
        <f t="shared" si="3"/>
        <v>05-31M-EB</v>
      </c>
      <c r="F89" s="16" t="b">
        <f t="shared" si="4"/>
        <v>0</v>
      </c>
      <c r="G89">
        <v>-76.394076999999996</v>
      </c>
      <c r="H89">
        <v>42.861355000000003</v>
      </c>
      <c r="I89">
        <v>14</v>
      </c>
      <c r="J89" t="s">
        <v>371</v>
      </c>
      <c r="K89" t="s">
        <v>359</v>
      </c>
      <c r="Q89">
        <v>38</v>
      </c>
      <c r="S89">
        <v>1</v>
      </c>
      <c r="T89" t="s">
        <v>352</v>
      </c>
      <c r="U89" t="s">
        <v>355</v>
      </c>
      <c r="V89">
        <v>194</v>
      </c>
      <c r="W89" t="s">
        <v>385</v>
      </c>
    </row>
    <row r="90" spans="1:23" x14ac:dyDescent="0.25">
      <c r="A90" t="s">
        <v>275</v>
      </c>
      <c r="B90" s="14">
        <v>25.071000000000002</v>
      </c>
      <c r="C90" s="16" t="s">
        <v>474</v>
      </c>
      <c r="D90" s="16" t="s">
        <v>453</v>
      </c>
      <c r="E90" s="16" t="str">
        <f t="shared" si="3"/>
        <v>05-31M-WA</v>
      </c>
      <c r="F90" s="16" t="b">
        <f t="shared" si="4"/>
        <v>0</v>
      </c>
      <c r="G90">
        <v>-76.394076999999996</v>
      </c>
      <c r="H90">
        <v>42.861355000000003</v>
      </c>
      <c r="I90">
        <v>14</v>
      </c>
      <c r="J90" t="s">
        <v>371</v>
      </c>
      <c r="K90" t="s">
        <v>360</v>
      </c>
      <c r="Q90">
        <v>59</v>
      </c>
      <c r="S90">
        <v>1</v>
      </c>
      <c r="T90" t="s">
        <v>352</v>
      </c>
      <c r="U90" t="s">
        <v>355</v>
      </c>
      <c r="W90" t="s">
        <v>385</v>
      </c>
    </row>
    <row r="91" spans="1:23" x14ac:dyDescent="0.25">
      <c r="A91" t="s">
        <v>124</v>
      </c>
      <c r="B91" s="14">
        <v>50.244</v>
      </c>
      <c r="C91" s="16" t="s">
        <v>475</v>
      </c>
      <c r="D91" s="16" t="s">
        <v>453</v>
      </c>
      <c r="E91" s="16" t="str">
        <f t="shared" si="3"/>
        <v>05-31M-WB</v>
      </c>
      <c r="F91" s="16" t="b">
        <f t="shared" si="4"/>
        <v>0</v>
      </c>
      <c r="G91">
        <v>-76.362260000000006</v>
      </c>
      <c r="H91">
        <v>42.861367999999999</v>
      </c>
      <c r="I91">
        <v>17</v>
      </c>
      <c r="J91" t="s">
        <v>371</v>
      </c>
      <c r="K91" t="s">
        <v>359</v>
      </c>
      <c r="Q91">
        <v>91</v>
      </c>
      <c r="S91">
        <v>0</v>
      </c>
      <c r="T91" t="s">
        <v>352</v>
      </c>
      <c r="U91" t="s">
        <v>355</v>
      </c>
      <c r="V91">
        <v>558</v>
      </c>
      <c r="W91" t="s">
        <v>385</v>
      </c>
    </row>
    <row r="92" spans="1:23" x14ac:dyDescent="0.25">
      <c r="A92" t="s">
        <v>276</v>
      </c>
      <c r="B92" s="14">
        <v>47.164000000000001</v>
      </c>
      <c r="C92" s="16" t="s">
        <v>476</v>
      </c>
      <c r="D92" s="16" t="s">
        <v>453</v>
      </c>
      <c r="E92" s="16" t="str">
        <f t="shared" si="3"/>
        <v>05-40M-EA</v>
      </c>
      <c r="F92" s="16" t="b">
        <f t="shared" si="4"/>
        <v>0</v>
      </c>
      <c r="G92">
        <v>-76.362260000000006</v>
      </c>
      <c r="H92">
        <v>42.861367999999999</v>
      </c>
      <c r="I92">
        <v>17</v>
      </c>
      <c r="J92" t="s">
        <v>371</v>
      </c>
      <c r="K92" t="s">
        <v>360</v>
      </c>
      <c r="Q92">
        <v>56</v>
      </c>
      <c r="S92">
        <v>2</v>
      </c>
      <c r="T92" t="s">
        <v>352</v>
      </c>
      <c r="U92" t="s">
        <v>355</v>
      </c>
      <c r="W92" t="s">
        <v>385</v>
      </c>
    </row>
    <row r="93" spans="1:23" x14ac:dyDescent="0.25">
      <c r="A93" t="s">
        <v>125</v>
      </c>
      <c r="B93" s="14">
        <v>18.526</v>
      </c>
      <c r="C93" s="16" t="s">
        <v>477</v>
      </c>
      <c r="D93" s="16" t="s">
        <v>453</v>
      </c>
      <c r="E93" s="16" t="str">
        <f t="shared" si="3"/>
        <v>05-40M-EB</v>
      </c>
      <c r="F93" s="16" t="b">
        <f t="shared" si="4"/>
        <v>0</v>
      </c>
      <c r="G93">
        <v>-76.392347000000001</v>
      </c>
      <c r="H93">
        <v>42.861241999999997</v>
      </c>
      <c r="I93">
        <v>17</v>
      </c>
      <c r="J93" t="s">
        <v>371</v>
      </c>
      <c r="K93" t="s">
        <v>359</v>
      </c>
      <c r="Q93">
        <v>299</v>
      </c>
      <c r="S93">
        <v>2</v>
      </c>
      <c r="T93" t="s">
        <v>352</v>
      </c>
      <c r="U93" t="s">
        <v>355</v>
      </c>
      <c r="V93">
        <v>48</v>
      </c>
      <c r="W93" t="s">
        <v>385</v>
      </c>
    </row>
    <row r="94" spans="1:23" x14ac:dyDescent="0.25">
      <c r="A94" t="s">
        <v>277</v>
      </c>
      <c r="B94" s="14">
        <v>36.042000000000002</v>
      </c>
      <c r="C94" s="16" t="s">
        <v>478</v>
      </c>
      <c r="D94" s="16" t="s">
        <v>453</v>
      </c>
      <c r="E94" s="16" t="str">
        <f t="shared" si="3"/>
        <v>05-40M-WA</v>
      </c>
      <c r="F94" s="16" t="b">
        <f t="shared" si="4"/>
        <v>0</v>
      </c>
      <c r="G94">
        <v>-76.392347000000001</v>
      </c>
      <c r="H94">
        <v>42.861241999999997</v>
      </c>
      <c r="I94">
        <v>17</v>
      </c>
      <c r="J94" t="s">
        <v>371</v>
      </c>
      <c r="K94" t="s">
        <v>360</v>
      </c>
      <c r="Q94">
        <v>305</v>
      </c>
      <c r="S94">
        <v>2</v>
      </c>
      <c r="T94" t="s">
        <v>352</v>
      </c>
      <c r="U94" t="s">
        <v>355</v>
      </c>
      <c r="W94" t="s">
        <v>385</v>
      </c>
    </row>
    <row r="95" spans="1:23" x14ac:dyDescent="0.25">
      <c r="A95" t="s">
        <v>127</v>
      </c>
      <c r="B95" s="14">
        <v>40.162999999999997</v>
      </c>
      <c r="C95" s="16" t="s">
        <v>479</v>
      </c>
      <c r="D95" s="16" t="s">
        <v>453</v>
      </c>
      <c r="E95" s="16" t="str">
        <f t="shared" si="3"/>
        <v>05-40M-WB</v>
      </c>
      <c r="F95" s="16" t="b">
        <f t="shared" si="4"/>
        <v>0</v>
      </c>
      <c r="G95">
        <v>-76.362403999999998</v>
      </c>
      <c r="H95">
        <v>42.861474000000001</v>
      </c>
      <c r="I95">
        <v>21</v>
      </c>
      <c r="J95" t="s">
        <v>371</v>
      </c>
      <c r="K95" t="s">
        <v>359</v>
      </c>
      <c r="Q95">
        <v>384</v>
      </c>
      <c r="S95">
        <v>1</v>
      </c>
      <c r="T95" t="s">
        <v>352</v>
      </c>
      <c r="U95" t="s">
        <v>355</v>
      </c>
      <c r="V95">
        <v>729</v>
      </c>
      <c r="W95" t="s">
        <v>385</v>
      </c>
    </row>
    <row r="96" spans="1:23" x14ac:dyDescent="0.25">
      <c r="A96" t="s">
        <v>128</v>
      </c>
      <c r="B96" s="14">
        <v>37.875999999999998</v>
      </c>
      <c r="C96" s="16" t="s">
        <v>480</v>
      </c>
      <c r="D96" s="16" t="s">
        <v>453</v>
      </c>
      <c r="E96" s="16" t="str">
        <f t="shared" si="3"/>
        <v>05-45M-EA</v>
      </c>
      <c r="F96" s="16" t="b">
        <f t="shared" si="4"/>
        <v>0</v>
      </c>
      <c r="G96">
        <v>-76.362684000000002</v>
      </c>
      <c r="H96">
        <v>42.861790999999997</v>
      </c>
      <c r="I96">
        <v>22</v>
      </c>
      <c r="J96" t="s">
        <v>371</v>
      </c>
      <c r="K96" t="s">
        <v>359</v>
      </c>
      <c r="Q96">
        <v>294</v>
      </c>
      <c r="S96">
        <v>0</v>
      </c>
      <c r="T96" t="s">
        <v>352</v>
      </c>
      <c r="U96" t="s">
        <v>355</v>
      </c>
      <c r="V96">
        <v>332</v>
      </c>
      <c r="W96" t="s">
        <v>385</v>
      </c>
    </row>
    <row r="97" spans="1:23" x14ac:dyDescent="0.25">
      <c r="A97" t="s">
        <v>130</v>
      </c>
      <c r="B97" s="14">
        <v>36.634</v>
      </c>
      <c r="C97" s="16" t="s">
        <v>481</v>
      </c>
      <c r="D97" s="16" t="s">
        <v>427</v>
      </c>
      <c r="E97" s="16" t="str">
        <f t="shared" si="3"/>
        <v>05-45M-EB</v>
      </c>
      <c r="F97" s="16" t="b">
        <f t="shared" si="4"/>
        <v>0</v>
      </c>
      <c r="G97">
        <v>-76.391381999999993</v>
      </c>
      <c r="H97">
        <v>42.861215999999999</v>
      </c>
      <c r="I97">
        <v>22</v>
      </c>
      <c r="J97" t="s">
        <v>371</v>
      </c>
      <c r="K97" t="s">
        <v>359</v>
      </c>
      <c r="Q97">
        <v>206</v>
      </c>
      <c r="S97">
        <v>2</v>
      </c>
      <c r="T97" t="s">
        <v>352</v>
      </c>
      <c r="U97" t="s">
        <v>355</v>
      </c>
      <c r="V97">
        <v>358</v>
      </c>
      <c r="W97" t="s">
        <v>385</v>
      </c>
    </row>
    <row r="98" spans="1:23" x14ac:dyDescent="0.25">
      <c r="A98" t="s">
        <v>278</v>
      </c>
      <c r="B98" s="14">
        <v>24.81</v>
      </c>
      <c r="C98" s="16" t="s">
        <v>482</v>
      </c>
      <c r="D98" s="16" t="s">
        <v>427</v>
      </c>
      <c r="E98" s="16" t="str">
        <f t="shared" si="3"/>
        <v>05-45M-WA</v>
      </c>
      <c r="F98" s="16" t="b">
        <f t="shared" si="4"/>
        <v>0</v>
      </c>
      <c r="G98">
        <v>-76.391381999999993</v>
      </c>
      <c r="H98">
        <v>42.861215999999999</v>
      </c>
      <c r="I98">
        <v>22</v>
      </c>
      <c r="J98" t="s">
        <v>371</v>
      </c>
      <c r="K98" t="s">
        <v>360</v>
      </c>
      <c r="Q98">
        <v>208</v>
      </c>
      <c r="S98">
        <v>2</v>
      </c>
      <c r="T98" t="s">
        <v>352</v>
      </c>
      <c r="U98" t="s">
        <v>355</v>
      </c>
      <c r="W98" t="s">
        <v>385</v>
      </c>
    </row>
    <row r="99" spans="1:23" x14ac:dyDescent="0.25">
      <c r="A99" t="s">
        <v>131</v>
      </c>
      <c r="B99" s="14">
        <v>15.428000000000001</v>
      </c>
      <c r="C99" s="16" t="s">
        <v>483</v>
      </c>
      <c r="D99" s="16" t="s">
        <v>427</v>
      </c>
      <c r="E99" s="16" t="str">
        <f t="shared" si="3"/>
        <v>05-45M-WB</v>
      </c>
      <c r="F99" s="16" t="b">
        <f t="shared" si="4"/>
        <v>0</v>
      </c>
      <c r="G99">
        <v>-76.390788000000001</v>
      </c>
      <c r="H99">
        <v>42.861302000000002</v>
      </c>
      <c r="I99">
        <v>24</v>
      </c>
      <c r="J99" t="s">
        <v>371</v>
      </c>
      <c r="K99" t="s">
        <v>359</v>
      </c>
      <c r="Q99">
        <v>178</v>
      </c>
      <c r="S99">
        <v>1</v>
      </c>
      <c r="T99" t="s">
        <v>352</v>
      </c>
      <c r="U99" t="s">
        <v>355</v>
      </c>
      <c r="V99">
        <v>102</v>
      </c>
      <c r="W99" t="s">
        <v>385</v>
      </c>
    </row>
    <row r="100" spans="1:23" x14ac:dyDescent="0.25">
      <c r="A100" t="s">
        <v>132</v>
      </c>
      <c r="B100" s="14">
        <v>16.850999999999999</v>
      </c>
      <c r="C100" s="16" t="s">
        <v>484</v>
      </c>
      <c r="D100" s="16" t="s">
        <v>427</v>
      </c>
      <c r="E100" s="16" t="str">
        <f t="shared" si="3"/>
        <v>05-52M-EA</v>
      </c>
      <c r="F100" s="16" t="b">
        <f t="shared" si="4"/>
        <v>0</v>
      </c>
      <c r="G100">
        <v>-76.362836999999999</v>
      </c>
      <c r="H100">
        <v>42.861255999999997</v>
      </c>
      <c r="I100">
        <v>31</v>
      </c>
      <c r="J100" t="s">
        <v>371</v>
      </c>
      <c r="K100" t="s">
        <v>359</v>
      </c>
      <c r="Q100">
        <v>318</v>
      </c>
      <c r="S100">
        <v>2</v>
      </c>
      <c r="T100" t="s">
        <v>352</v>
      </c>
      <c r="U100" t="s">
        <v>355</v>
      </c>
      <c r="V100">
        <v>89</v>
      </c>
      <c r="W100" t="s">
        <v>385</v>
      </c>
    </row>
    <row r="101" spans="1:23" x14ac:dyDescent="0.25">
      <c r="A101" t="s">
        <v>133</v>
      </c>
      <c r="B101" s="14">
        <v>16.375</v>
      </c>
      <c r="C101" s="16" t="s">
        <v>485</v>
      </c>
      <c r="D101" s="16" t="s">
        <v>453</v>
      </c>
      <c r="E101" s="16" t="str">
        <f t="shared" si="3"/>
        <v>05-52M-EB</v>
      </c>
      <c r="F101" s="16" t="b">
        <f t="shared" si="4"/>
        <v>0</v>
      </c>
      <c r="G101">
        <v>-76.389706000000004</v>
      </c>
      <c r="H101">
        <v>42.861209000000002</v>
      </c>
      <c r="I101">
        <v>31</v>
      </c>
      <c r="J101" t="s">
        <v>371</v>
      </c>
      <c r="K101" t="s">
        <v>359</v>
      </c>
      <c r="Q101">
        <v>149</v>
      </c>
      <c r="S101">
        <v>1</v>
      </c>
      <c r="T101" t="s">
        <v>352</v>
      </c>
      <c r="U101" t="s">
        <v>355</v>
      </c>
      <c r="V101">
        <v>101</v>
      </c>
      <c r="W101" t="s">
        <v>385</v>
      </c>
    </row>
    <row r="102" spans="1:23" x14ac:dyDescent="0.25">
      <c r="A102" t="s">
        <v>134</v>
      </c>
      <c r="B102" s="14">
        <v>24.143000000000001</v>
      </c>
      <c r="C102" s="16" t="s">
        <v>486</v>
      </c>
      <c r="D102" s="16" t="s">
        <v>427</v>
      </c>
      <c r="E102" s="16" t="str">
        <f t="shared" si="3"/>
        <v>05-54M-WA</v>
      </c>
      <c r="F102" s="16" t="b">
        <f t="shared" si="4"/>
        <v>0</v>
      </c>
      <c r="G102">
        <v>-76.363459000000006</v>
      </c>
      <c r="H102">
        <v>42.861282000000003</v>
      </c>
      <c r="I102">
        <v>38</v>
      </c>
      <c r="J102" t="s">
        <v>371</v>
      </c>
      <c r="K102" t="s">
        <v>359</v>
      </c>
      <c r="Q102">
        <v>250</v>
      </c>
      <c r="S102">
        <v>2</v>
      </c>
      <c r="T102" t="s">
        <v>352</v>
      </c>
      <c r="U102" t="s">
        <v>355</v>
      </c>
      <c r="V102">
        <v>117</v>
      </c>
      <c r="W102" t="s">
        <v>385</v>
      </c>
    </row>
    <row r="103" spans="1:23" x14ac:dyDescent="0.25">
      <c r="A103" t="s">
        <v>135</v>
      </c>
      <c r="B103" s="14">
        <v>46.054000000000002</v>
      </c>
      <c r="C103" s="16" t="s">
        <v>487</v>
      </c>
      <c r="D103" s="16" t="s">
        <v>427</v>
      </c>
      <c r="E103" s="16" t="str">
        <f t="shared" si="3"/>
        <v>05-54M-WB</v>
      </c>
      <c r="F103" s="16" t="b">
        <f t="shared" si="4"/>
        <v>0</v>
      </c>
      <c r="G103">
        <v>-76.388642000000004</v>
      </c>
      <c r="H103">
        <v>42.861122999999999</v>
      </c>
      <c r="I103">
        <v>38</v>
      </c>
      <c r="J103" t="s">
        <v>371</v>
      </c>
      <c r="K103" t="s">
        <v>359</v>
      </c>
      <c r="Q103">
        <v>155</v>
      </c>
      <c r="S103">
        <v>2</v>
      </c>
      <c r="T103" t="s">
        <v>352</v>
      </c>
      <c r="U103" t="s">
        <v>355</v>
      </c>
      <c r="V103">
        <v>102</v>
      </c>
      <c r="W103" t="s">
        <v>385</v>
      </c>
    </row>
    <row r="104" spans="1:23" x14ac:dyDescent="0.25">
      <c r="A104" t="s">
        <v>136</v>
      </c>
      <c r="B104" s="14">
        <v>23.03</v>
      </c>
      <c r="C104" s="16" t="s">
        <v>488</v>
      </c>
      <c r="D104" s="16" t="s">
        <v>387</v>
      </c>
      <c r="E104" s="16" t="str">
        <f t="shared" si="3"/>
        <v>06-01M-WA</v>
      </c>
      <c r="F104" s="16" t="b">
        <f t="shared" si="4"/>
        <v>0</v>
      </c>
      <c r="G104">
        <v>-76.389706000000004</v>
      </c>
      <c r="H104">
        <v>42.861209000000002</v>
      </c>
      <c r="I104">
        <v>38</v>
      </c>
      <c r="J104" t="s">
        <v>371</v>
      </c>
      <c r="K104" t="s">
        <v>360</v>
      </c>
      <c r="Q104">
        <v>172</v>
      </c>
      <c r="S104">
        <v>2</v>
      </c>
      <c r="T104" t="s">
        <v>352</v>
      </c>
      <c r="U104" t="s">
        <v>355</v>
      </c>
      <c r="V104">
        <v>61</v>
      </c>
      <c r="W104" t="s">
        <v>385</v>
      </c>
    </row>
    <row r="105" spans="1:23" x14ac:dyDescent="0.25">
      <c r="A105" t="s">
        <v>137</v>
      </c>
      <c r="B105" s="14">
        <v>27.094000000000001</v>
      </c>
      <c r="C105" s="16" t="s">
        <v>489</v>
      </c>
      <c r="D105" s="16" t="s">
        <v>387</v>
      </c>
      <c r="E105" s="16" t="str">
        <f t="shared" si="3"/>
        <v>06-01M-WB</v>
      </c>
      <c r="F105" s="16" t="b">
        <f t="shared" si="4"/>
        <v>0</v>
      </c>
      <c r="G105">
        <v>-76.387677999999994</v>
      </c>
      <c r="H105">
        <v>42.861196</v>
      </c>
      <c r="I105">
        <v>43</v>
      </c>
      <c r="J105" t="s">
        <v>371</v>
      </c>
      <c r="K105" t="s">
        <v>359</v>
      </c>
      <c r="Q105">
        <v>123</v>
      </c>
      <c r="S105">
        <v>2</v>
      </c>
      <c r="T105" t="s">
        <v>352</v>
      </c>
      <c r="U105" t="s">
        <v>355</v>
      </c>
      <c r="V105">
        <v>111</v>
      </c>
      <c r="W105" t="s">
        <v>385</v>
      </c>
    </row>
    <row r="106" spans="1:23" x14ac:dyDescent="0.25">
      <c r="A106" t="s">
        <v>138</v>
      </c>
      <c r="B106" s="14">
        <v>100</v>
      </c>
      <c r="C106" s="16" t="s">
        <v>490</v>
      </c>
      <c r="D106" s="16" t="s">
        <v>396</v>
      </c>
      <c r="E106" s="16" t="str">
        <f t="shared" si="3"/>
        <v>06-12M-WA</v>
      </c>
      <c r="F106" s="16" t="b">
        <f t="shared" si="4"/>
        <v>0</v>
      </c>
      <c r="G106">
        <v>-76.363928000000001</v>
      </c>
      <c r="H106">
        <v>42.861196</v>
      </c>
      <c r="I106">
        <v>46</v>
      </c>
      <c r="J106" t="s">
        <v>371</v>
      </c>
      <c r="K106" t="s">
        <v>359</v>
      </c>
      <c r="Q106">
        <v>225</v>
      </c>
      <c r="S106">
        <v>2</v>
      </c>
      <c r="T106" t="s">
        <v>352</v>
      </c>
      <c r="U106" t="s">
        <v>355</v>
      </c>
      <c r="V106">
        <v>312</v>
      </c>
      <c r="W106" t="s">
        <v>385</v>
      </c>
    </row>
    <row r="107" spans="1:23" x14ac:dyDescent="0.25">
      <c r="A107" t="s">
        <v>139</v>
      </c>
      <c r="B107" s="14">
        <v>61.356999999999999</v>
      </c>
      <c r="C107" s="16" t="s">
        <v>491</v>
      </c>
      <c r="D107" s="16" t="s">
        <v>396</v>
      </c>
      <c r="E107" s="16" t="str">
        <f t="shared" si="3"/>
        <v>06-12M-WB</v>
      </c>
      <c r="F107" s="16" t="b">
        <f t="shared" si="4"/>
        <v>0</v>
      </c>
      <c r="G107">
        <v>-76.364478000000005</v>
      </c>
      <c r="H107">
        <v>42.861229000000002</v>
      </c>
      <c r="I107">
        <v>52</v>
      </c>
      <c r="J107" t="s">
        <v>371</v>
      </c>
      <c r="K107" t="s">
        <v>359</v>
      </c>
      <c r="Q107">
        <v>161</v>
      </c>
      <c r="S107">
        <v>2</v>
      </c>
      <c r="T107" t="s">
        <v>352</v>
      </c>
      <c r="U107" t="s">
        <v>355</v>
      </c>
      <c r="V107">
        <v>97</v>
      </c>
      <c r="W107" t="s">
        <v>385</v>
      </c>
    </row>
    <row r="108" spans="1:23" x14ac:dyDescent="0.25">
      <c r="A108" t="s">
        <v>140</v>
      </c>
      <c r="B108" s="14">
        <v>33.776000000000003</v>
      </c>
      <c r="C108" s="16" t="s">
        <v>492</v>
      </c>
      <c r="D108" s="16" t="s">
        <v>396</v>
      </c>
      <c r="E108" s="16" t="str">
        <f t="shared" si="3"/>
        <v>06-14M-WA</v>
      </c>
      <c r="F108" s="16" t="b">
        <f t="shared" si="4"/>
        <v>0</v>
      </c>
      <c r="G108">
        <v>-76.387028999999998</v>
      </c>
      <c r="H108">
        <v>42.861274999999999</v>
      </c>
      <c r="I108">
        <v>52</v>
      </c>
      <c r="J108" t="s">
        <v>371</v>
      </c>
      <c r="K108" t="s">
        <v>359</v>
      </c>
      <c r="Q108">
        <v>60</v>
      </c>
      <c r="S108">
        <v>2</v>
      </c>
      <c r="T108" t="s">
        <v>352</v>
      </c>
      <c r="U108" t="s">
        <v>355</v>
      </c>
      <c r="V108">
        <v>96</v>
      </c>
      <c r="W108" t="s">
        <v>385</v>
      </c>
    </row>
    <row r="109" spans="1:23" x14ac:dyDescent="0.25">
      <c r="A109" t="s">
        <v>44</v>
      </c>
      <c r="B109" s="14">
        <v>55.207999999999998</v>
      </c>
      <c r="C109" s="16" t="s">
        <v>493</v>
      </c>
      <c r="D109" s="16" t="s">
        <v>396</v>
      </c>
      <c r="E109" s="16" t="str">
        <f t="shared" si="3"/>
        <v>06-17M-WA</v>
      </c>
      <c r="F109" s="16" t="b">
        <f t="shared" si="4"/>
        <v>0</v>
      </c>
      <c r="G109">
        <v>-76.346198000000001</v>
      </c>
      <c r="H109">
        <v>42.833731999999998</v>
      </c>
      <c r="I109">
        <v>14</v>
      </c>
      <c r="J109" t="s">
        <v>362</v>
      </c>
      <c r="K109" t="s">
        <v>359</v>
      </c>
      <c r="L109">
        <v>390</v>
      </c>
      <c r="M109">
        <v>296</v>
      </c>
      <c r="N109">
        <v>1</v>
      </c>
      <c r="O109" t="s">
        <v>352</v>
      </c>
      <c r="P109" t="s">
        <v>355</v>
      </c>
      <c r="Q109">
        <v>150</v>
      </c>
      <c r="S109">
        <v>0</v>
      </c>
      <c r="T109" t="s">
        <v>352</v>
      </c>
      <c r="U109" t="s">
        <v>355</v>
      </c>
      <c r="V109">
        <v>233</v>
      </c>
      <c r="W109" t="s">
        <v>385</v>
      </c>
    </row>
    <row r="110" spans="1:23" x14ac:dyDescent="0.25">
      <c r="A110" t="s">
        <v>154</v>
      </c>
      <c r="B110" s="14">
        <v>59.207000000000001</v>
      </c>
      <c r="C110" s="16" t="s">
        <v>494</v>
      </c>
      <c r="D110" s="16" t="s">
        <v>396</v>
      </c>
      <c r="E110" s="16" t="str">
        <f t="shared" si="3"/>
        <v>06-17M-WB</v>
      </c>
      <c r="F110" s="16" t="b">
        <f t="shared" si="4"/>
        <v>0</v>
      </c>
      <c r="G110">
        <v>-76.327757000000005</v>
      </c>
      <c r="H110">
        <v>42.833739000000001</v>
      </c>
      <c r="I110">
        <v>24</v>
      </c>
      <c r="J110" t="s">
        <v>362</v>
      </c>
      <c r="K110" t="s">
        <v>359</v>
      </c>
      <c r="Q110">
        <v>85</v>
      </c>
      <c r="S110">
        <v>2</v>
      </c>
      <c r="T110" t="s">
        <v>352</v>
      </c>
      <c r="U110" t="s">
        <v>355</v>
      </c>
      <c r="V110">
        <v>246</v>
      </c>
      <c r="W110" t="s">
        <v>385</v>
      </c>
    </row>
    <row r="111" spans="1:23" x14ac:dyDescent="0.25">
      <c r="A111" t="s">
        <v>279</v>
      </c>
      <c r="B111" s="14">
        <v>29.004000000000001</v>
      </c>
      <c r="C111" s="16" t="s">
        <v>495</v>
      </c>
      <c r="D111" s="16" t="s">
        <v>453</v>
      </c>
      <c r="E111" s="16" t="str">
        <f t="shared" si="3"/>
        <v>06-24M-EA</v>
      </c>
      <c r="F111" s="16" t="b">
        <f t="shared" si="4"/>
        <v>0</v>
      </c>
      <c r="G111">
        <v>-76.327757000000005</v>
      </c>
      <c r="H111">
        <v>42.833739000000001</v>
      </c>
      <c r="I111">
        <v>24</v>
      </c>
      <c r="J111" t="s">
        <v>362</v>
      </c>
      <c r="K111" t="s">
        <v>360</v>
      </c>
      <c r="Q111">
        <v>63</v>
      </c>
      <c r="S111">
        <v>2</v>
      </c>
      <c r="T111" t="s">
        <v>352</v>
      </c>
      <c r="U111" t="s">
        <v>355</v>
      </c>
      <c r="W111" t="s">
        <v>385</v>
      </c>
    </row>
    <row r="112" spans="1:23" x14ac:dyDescent="0.25">
      <c r="A112" t="s">
        <v>155</v>
      </c>
      <c r="B112" s="14">
        <v>29.212</v>
      </c>
      <c r="C112" s="16" t="s">
        <v>496</v>
      </c>
      <c r="D112" s="16" t="s">
        <v>453</v>
      </c>
      <c r="E112" s="16" t="str">
        <f t="shared" si="3"/>
        <v>06-24M-WA</v>
      </c>
      <c r="F112" s="16" t="b">
        <f t="shared" si="4"/>
        <v>0</v>
      </c>
      <c r="G112">
        <v>-76.345883000000001</v>
      </c>
      <c r="H112">
        <v>42.834029000000001</v>
      </c>
      <c r="I112">
        <v>24</v>
      </c>
      <c r="J112" t="s">
        <v>362</v>
      </c>
      <c r="K112" t="s">
        <v>359</v>
      </c>
      <c r="Q112">
        <v>169</v>
      </c>
      <c r="S112">
        <v>2</v>
      </c>
      <c r="T112" t="s">
        <v>352</v>
      </c>
      <c r="U112" t="s">
        <v>355</v>
      </c>
      <c r="V112">
        <v>290</v>
      </c>
      <c r="W112" t="s">
        <v>385</v>
      </c>
    </row>
    <row r="113" spans="1:23" x14ac:dyDescent="0.25">
      <c r="A113" t="s">
        <v>280</v>
      </c>
      <c r="B113" s="14">
        <v>47.628999999999998</v>
      </c>
      <c r="C113" s="16" t="s">
        <v>497</v>
      </c>
      <c r="D113" s="16" t="s">
        <v>396</v>
      </c>
      <c r="E113" s="16" t="str">
        <f t="shared" si="3"/>
        <v>06-24M-WB</v>
      </c>
      <c r="F113" s="16" t="b">
        <f t="shared" si="4"/>
        <v>0</v>
      </c>
      <c r="G113">
        <v>-76.345883000000001</v>
      </c>
      <c r="H113">
        <v>42.834029000000001</v>
      </c>
      <c r="I113">
        <v>24</v>
      </c>
      <c r="J113" t="s">
        <v>362</v>
      </c>
      <c r="K113" t="s">
        <v>360</v>
      </c>
      <c r="Q113">
        <v>150</v>
      </c>
      <c r="S113">
        <v>2</v>
      </c>
      <c r="T113" t="s">
        <v>352</v>
      </c>
      <c r="U113" t="s">
        <v>355</v>
      </c>
      <c r="W113" t="s">
        <v>385</v>
      </c>
    </row>
    <row r="114" spans="1:23" x14ac:dyDescent="0.25">
      <c r="A114" t="s">
        <v>156</v>
      </c>
      <c r="B114" s="14">
        <v>16.024000000000001</v>
      </c>
      <c r="C114" s="16" t="s">
        <v>498</v>
      </c>
      <c r="D114" s="16" t="s">
        <v>453</v>
      </c>
      <c r="E114" s="16" t="str">
        <f t="shared" si="3"/>
        <v>06-30M-WA</v>
      </c>
      <c r="F114" s="16" t="b">
        <f t="shared" si="4"/>
        <v>0</v>
      </c>
      <c r="G114">
        <v>-76.327793</v>
      </c>
      <c r="H114">
        <v>42.833593</v>
      </c>
      <c r="I114">
        <v>31</v>
      </c>
      <c r="J114" t="s">
        <v>362</v>
      </c>
      <c r="K114" t="s">
        <v>359</v>
      </c>
      <c r="Q114">
        <v>332</v>
      </c>
      <c r="S114">
        <v>1</v>
      </c>
      <c r="T114" t="s">
        <v>352</v>
      </c>
      <c r="U114" t="s">
        <v>355</v>
      </c>
      <c r="V114">
        <v>206</v>
      </c>
      <c r="W114" t="s">
        <v>385</v>
      </c>
    </row>
    <row r="115" spans="1:23" x14ac:dyDescent="0.25">
      <c r="A115" t="s">
        <v>281</v>
      </c>
      <c r="B115" s="14">
        <v>20.088000000000001</v>
      </c>
      <c r="C115" s="16" t="s">
        <v>499</v>
      </c>
      <c r="D115" s="16" t="s">
        <v>453</v>
      </c>
      <c r="E115" s="16" t="str">
        <f t="shared" si="3"/>
        <v>06-30M-WB</v>
      </c>
      <c r="F115" s="16" t="b">
        <f t="shared" si="4"/>
        <v>0</v>
      </c>
      <c r="G115">
        <v>-76.327793</v>
      </c>
      <c r="H115">
        <v>42.833593</v>
      </c>
      <c r="I115">
        <v>31</v>
      </c>
      <c r="J115" t="s">
        <v>362</v>
      </c>
      <c r="K115" t="s">
        <v>360</v>
      </c>
      <c r="Q115">
        <v>395</v>
      </c>
      <c r="S115">
        <v>2</v>
      </c>
      <c r="T115" t="s">
        <v>352</v>
      </c>
      <c r="U115" t="s">
        <v>355</v>
      </c>
      <c r="W115" t="s">
        <v>385</v>
      </c>
    </row>
    <row r="116" spans="1:23" x14ac:dyDescent="0.25">
      <c r="A116" t="s">
        <v>157</v>
      </c>
      <c r="B116" s="14">
        <v>69.241</v>
      </c>
      <c r="C116" s="16" t="s">
        <v>500</v>
      </c>
      <c r="D116" s="16" t="s">
        <v>453</v>
      </c>
      <c r="E116" s="16" t="str">
        <f t="shared" si="3"/>
        <v>06-31M-EA</v>
      </c>
      <c r="F116" s="16" t="b">
        <f t="shared" si="4"/>
        <v>0</v>
      </c>
      <c r="G116">
        <v>-76.345828999999995</v>
      </c>
      <c r="H116">
        <v>42.834248000000002</v>
      </c>
      <c r="I116">
        <v>31</v>
      </c>
      <c r="J116" t="s">
        <v>362</v>
      </c>
      <c r="K116" t="s">
        <v>359</v>
      </c>
      <c r="Q116">
        <v>86</v>
      </c>
      <c r="S116">
        <v>2</v>
      </c>
      <c r="T116" t="s">
        <v>352</v>
      </c>
      <c r="U116" t="s">
        <v>355</v>
      </c>
      <c r="V116">
        <v>108</v>
      </c>
      <c r="W116" t="s">
        <v>385</v>
      </c>
    </row>
    <row r="117" spans="1:23" x14ac:dyDescent="0.25">
      <c r="A117" t="s">
        <v>282</v>
      </c>
      <c r="B117" s="14">
        <v>15.419</v>
      </c>
      <c r="C117" s="16" t="s">
        <v>501</v>
      </c>
      <c r="D117" s="16" t="s">
        <v>453</v>
      </c>
      <c r="E117" s="16" t="str">
        <f t="shared" si="3"/>
        <v>06-35M-WA</v>
      </c>
      <c r="F117" s="16" t="b">
        <f t="shared" si="4"/>
        <v>0</v>
      </c>
      <c r="G117">
        <v>-76.345828999999995</v>
      </c>
      <c r="H117">
        <v>42.834248000000002</v>
      </c>
      <c r="I117">
        <v>31</v>
      </c>
      <c r="J117" t="s">
        <v>362</v>
      </c>
      <c r="K117" t="s">
        <v>360</v>
      </c>
      <c r="Q117">
        <v>223</v>
      </c>
      <c r="S117">
        <v>2</v>
      </c>
      <c r="T117" t="s">
        <v>352</v>
      </c>
      <c r="U117" t="s">
        <v>355</v>
      </c>
      <c r="W117" t="s">
        <v>385</v>
      </c>
    </row>
    <row r="118" spans="1:23" x14ac:dyDescent="0.25">
      <c r="A118" t="s">
        <v>158</v>
      </c>
      <c r="B118" s="14">
        <v>29.716000000000001</v>
      </c>
      <c r="C118" s="16" t="s">
        <v>502</v>
      </c>
      <c r="D118" s="16" t="s">
        <v>453</v>
      </c>
      <c r="E118" s="16" t="str">
        <f t="shared" si="3"/>
        <v>06-35M-WB</v>
      </c>
      <c r="F118" s="16" t="b">
        <f t="shared" si="4"/>
        <v>0</v>
      </c>
      <c r="G118">
        <v>-76.327748</v>
      </c>
      <c r="H118">
        <v>42.833316000000003</v>
      </c>
      <c r="I118">
        <v>40</v>
      </c>
      <c r="J118" t="s">
        <v>362</v>
      </c>
      <c r="K118" t="s">
        <v>359</v>
      </c>
      <c r="Q118">
        <v>429</v>
      </c>
      <c r="S118">
        <v>2</v>
      </c>
      <c r="T118" t="s">
        <v>352</v>
      </c>
      <c r="U118" t="s">
        <v>355</v>
      </c>
      <c r="V118">
        <v>333</v>
      </c>
      <c r="W118" t="s">
        <v>385</v>
      </c>
    </row>
    <row r="119" spans="1:23" x14ac:dyDescent="0.25">
      <c r="A119" t="s">
        <v>283</v>
      </c>
      <c r="B119" s="14">
        <v>30.581</v>
      </c>
      <c r="C119" s="16" t="s">
        <v>503</v>
      </c>
      <c r="D119" s="16" t="s">
        <v>453</v>
      </c>
      <c r="E119" s="16" t="str">
        <f t="shared" si="3"/>
        <v>06-38M-EA</v>
      </c>
      <c r="F119" s="16" t="b">
        <f t="shared" si="4"/>
        <v>0</v>
      </c>
      <c r="G119">
        <v>-76.327748</v>
      </c>
      <c r="H119">
        <v>42.833316000000003</v>
      </c>
      <c r="I119">
        <v>40</v>
      </c>
      <c r="J119" t="s">
        <v>362</v>
      </c>
      <c r="K119" t="s">
        <v>360</v>
      </c>
      <c r="Q119">
        <v>288</v>
      </c>
      <c r="S119">
        <v>2</v>
      </c>
      <c r="T119" t="s">
        <v>352</v>
      </c>
      <c r="U119" t="s">
        <v>355</v>
      </c>
      <c r="W119" t="s">
        <v>385</v>
      </c>
    </row>
    <row r="120" spans="1:23" x14ac:dyDescent="0.25">
      <c r="A120" t="s">
        <v>245</v>
      </c>
      <c r="B120" s="14">
        <v>15.747999999999999</v>
      </c>
      <c r="C120" s="16" t="s">
        <v>504</v>
      </c>
      <c r="D120" s="16" t="s">
        <v>453</v>
      </c>
      <c r="E120" s="16" t="str">
        <f t="shared" si="3"/>
        <v>06-43M-WA</v>
      </c>
      <c r="F120" s="16" t="b">
        <f t="shared" si="4"/>
        <v>0</v>
      </c>
      <c r="G120">
        <v>-76.345820000000003</v>
      </c>
      <c r="H120">
        <v>42.834347000000001</v>
      </c>
      <c r="I120">
        <v>40</v>
      </c>
      <c r="J120" t="s">
        <v>362</v>
      </c>
      <c r="K120" t="s">
        <v>359</v>
      </c>
      <c r="Q120">
        <v>292</v>
      </c>
      <c r="S120">
        <v>2</v>
      </c>
      <c r="T120" t="s">
        <v>352</v>
      </c>
      <c r="U120" t="s">
        <v>355</v>
      </c>
      <c r="V120">
        <v>0</v>
      </c>
      <c r="W120" t="s">
        <v>385</v>
      </c>
    </row>
    <row r="121" spans="1:23" x14ac:dyDescent="0.25">
      <c r="A121" t="s">
        <v>284</v>
      </c>
      <c r="B121" s="14">
        <v>30.664000000000001</v>
      </c>
      <c r="C121" s="16" t="s">
        <v>505</v>
      </c>
      <c r="D121" s="16" t="s">
        <v>453</v>
      </c>
      <c r="E121" s="16" t="str">
        <f t="shared" si="3"/>
        <v>06-43M-WB</v>
      </c>
      <c r="F121" s="16" t="b">
        <f t="shared" si="4"/>
        <v>0</v>
      </c>
      <c r="G121">
        <v>-76.345820000000003</v>
      </c>
      <c r="H121">
        <v>42.834347000000001</v>
      </c>
      <c r="I121">
        <v>40</v>
      </c>
      <c r="J121" t="s">
        <v>362</v>
      </c>
      <c r="K121" t="s">
        <v>360</v>
      </c>
      <c r="Q121">
        <v>160</v>
      </c>
      <c r="S121">
        <v>2</v>
      </c>
      <c r="T121" t="s">
        <v>352</v>
      </c>
      <c r="U121" t="s">
        <v>355</v>
      </c>
      <c r="W121" t="s">
        <v>385</v>
      </c>
    </row>
    <row r="122" spans="1:23" x14ac:dyDescent="0.25">
      <c r="A122" t="s">
        <v>159</v>
      </c>
      <c r="B122" s="14">
        <v>38.594000000000001</v>
      </c>
      <c r="C122" s="16" t="s">
        <v>506</v>
      </c>
      <c r="D122" s="16" t="s">
        <v>453</v>
      </c>
      <c r="E122" s="16" t="str">
        <f t="shared" si="3"/>
        <v>06-45M-EA</v>
      </c>
      <c r="F122" s="16" t="b">
        <f t="shared" si="4"/>
        <v>0</v>
      </c>
      <c r="G122">
        <v>-76.327577000000005</v>
      </c>
      <c r="H122">
        <v>42.833117000000001</v>
      </c>
      <c r="I122">
        <v>45</v>
      </c>
      <c r="J122" t="s">
        <v>362</v>
      </c>
      <c r="K122" t="s">
        <v>359</v>
      </c>
      <c r="Q122">
        <v>254</v>
      </c>
      <c r="S122">
        <v>1</v>
      </c>
      <c r="T122" t="s">
        <v>352</v>
      </c>
      <c r="U122" t="s">
        <v>355</v>
      </c>
      <c r="V122">
        <v>91</v>
      </c>
      <c r="W122" t="s">
        <v>385</v>
      </c>
    </row>
    <row r="123" spans="1:23" x14ac:dyDescent="0.25">
      <c r="A123" t="s">
        <v>285</v>
      </c>
      <c r="B123" s="14">
        <v>28.545000000000002</v>
      </c>
      <c r="C123" s="16" t="s">
        <v>507</v>
      </c>
      <c r="D123" s="16" t="s">
        <v>453</v>
      </c>
      <c r="E123" s="16" t="str">
        <f t="shared" si="3"/>
        <v>06-50M-WA</v>
      </c>
      <c r="F123" s="16" t="b">
        <f t="shared" si="4"/>
        <v>0</v>
      </c>
      <c r="G123">
        <v>-76.327577000000005</v>
      </c>
      <c r="H123">
        <v>42.833117000000001</v>
      </c>
      <c r="I123">
        <v>45</v>
      </c>
      <c r="J123" t="s">
        <v>362</v>
      </c>
      <c r="K123" t="s">
        <v>360</v>
      </c>
      <c r="Q123">
        <v>213</v>
      </c>
      <c r="S123">
        <v>2</v>
      </c>
      <c r="T123" t="s">
        <v>352</v>
      </c>
      <c r="U123" t="s">
        <v>355</v>
      </c>
      <c r="W123" t="s">
        <v>385</v>
      </c>
    </row>
    <row r="124" spans="1:23" x14ac:dyDescent="0.25">
      <c r="A124" t="s">
        <v>160</v>
      </c>
      <c r="B124" s="14">
        <v>22.844999999999999</v>
      </c>
      <c r="C124" s="16" t="s">
        <v>508</v>
      </c>
      <c r="D124" s="16" t="s">
        <v>427</v>
      </c>
      <c r="E124" s="16" t="str">
        <f t="shared" si="3"/>
        <v>06-52M-EA</v>
      </c>
      <c r="F124" s="16" t="b">
        <f t="shared" si="4"/>
        <v>0</v>
      </c>
      <c r="G124">
        <v>-76.345738999999995</v>
      </c>
      <c r="H124">
        <v>42.834465999999999</v>
      </c>
      <c r="I124">
        <v>45</v>
      </c>
      <c r="J124" t="s">
        <v>362</v>
      </c>
      <c r="K124" t="s">
        <v>359</v>
      </c>
      <c r="Q124">
        <v>60</v>
      </c>
      <c r="S124">
        <v>2</v>
      </c>
      <c r="T124" t="s">
        <v>352</v>
      </c>
      <c r="U124" t="s">
        <v>355</v>
      </c>
      <c r="V124">
        <v>3</v>
      </c>
      <c r="W124" t="s">
        <v>385</v>
      </c>
    </row>
    <row r="125" spans="1:23" x14ac:dyDescent="0.25">
      <c r="A125" t="s">
        <v>286</v>
      </c>
      <c r="B125" s="14">
        <v>22.706</v>
      </c>
      <c r="C125" s="16" t="s">
        <v>509</v>
      </c>
      <c r="D125" s="16" t="s">
        <v>416</v>
      </c>
      <c r="E125" s="16" t="str">
        <f t="shared" si="3"/>
        <v>07-02M-EA</v>
      </c>
      <c r="F125" s="16" t="b">
        <f t="shared" si="4"/>
        <v>0</v>
      </c>
      <c r="G125">
        <v>-76.345738999999995</v>
      </c>
      <c r="H125">
        <v>42.834465999999999</v>
      </c>
      <c r="I125">
        <v>45</v>
      </c>
      <c r="J125" t="s">
        <v>362</v>
      </c>
      <c r="K125" t="s">
        <v>360</v>
      </c>
      <c r="Q125">
        <v>94</v>
      </c>
      <c r="S125">
        <v>1</v>
      </c>
      <c r="T125" t="s">
        <v>352</v>
      </c>
      <c r="U125" t="s">
        <v>355</v>
      </c>
      <c r="W125" t="s">
        <v>385</v>
      </c>
    </row>
    <row r="126" spans="1:23" x14ac:dyDescent="0.25">
      <c r="A126" t="s">
        <v>161</v>
      </c>
      <c r="B126" s="14">
        <v>21.25</v>
      </c>
      <c r="C126" s="16" t="s">
        <v>510</v>
      </c>
      <c r="D126" s="16" t="s">
        <v>416</v>
      </c>
      <c r="E126" s="16" t="str">
        <f t="shared" si="3"/>
        <v>07-02M-EB</v>
      </c>
      <c r="F126" s="16" t="b">
        <f t="shared" si="4"/>
        <v>0</v>
      </c>
      <c r="G126">
        <v>-76.327667000000005</v>
      </c>
      <c r="H126">
        <v>42.833018000000003</v>
      </c>
      <c r="I126">
        <v>52</v>
      </c>
      <c r="J126" t="s">
        <v>362</v>
      </c>
      <c r="K126" t="s">
        <v>359</v>
      </c>
      <c r="Q126">
        <v>140</v>
      </c>
      <c r="S126">
        <v>1</v>
      </c>
      <c r="T126" t="s">
        <v>352</v>
      </c>
      <c r="U126" t="s">
        <v>355</v>
      </c>
      <c r="V126">
        <v>134</v>
      </c>
      <c r="W126" t="s">
        <v>385</v>
      </c>
    </row>
    <row r="127" spans="1:23" x14ac:dyDescent="0.25">
      <c r="A127" t="s">
        <v>287</v>
      </c>
      <c r="B127" s="14">
        <v>8.3379999999999992</v>
      </c>
      <c r="C127" s="16" t="s">
        <v>511</v>
      </c>
      <c r="D127" s="16" t="s">
        <v>391</v>
      </c>
      <c r="E127" s="16" t="str">
        <f t="shared" si="3"/>
        <v>07-02M-EC</v>
      </c>
      <c r="F127" s="16" t="b">
        <f t="shared" si="4"/>
        <v>0</v>
      </c>
      <c r="G127">
        <v>-76.327667000000005</v>
      </c>
      <c r="H127">
        <v>42.833018000000003</v>
      </c>
      <c r="I127">
        <v>52</v>
      </c>
      <c r="J127" t="s">
        <v>362</v>
      </c>
      <c r="K127" t="s">
        <v>360</v>
      </c>
      <c r="Q127">
        <v>163</v>
      </c>
      <c r="S127">
        <v>2</v>
      </c>
      <c r="T127" t="s">
        <v>352</v>
      </c>
      <c r="U127" t="s">
        <v>355</v>
      </c>
      <c r="W127" t="s">
        <v>385</v>
      </c>
    </row>
    <row r="128" spans="1:23" x14ac:dyDescent="0.25">
      <c r="A128" t="s">
        <v>162</v>
      </c>
      <c r="B128" s="14">
        <v>23.096</v>
      </c>
      <c r="C128" s="16" t="s">
        <v>512</v>
      </c>
      <c r="D128" s="16" t="s">
        <v>391</v>
      </c>
      <c r="E128" s="16" t="str">
        <f t="shared" si="3"/>
        <v>07-02M-WA</v>
      </c>
      <c r="F128" s="16" t="b">
        <f t="shared" si="4"/>
        <v>0</v>
      </c>
      <c r="G128">
        <v>-76.345568</v>
      </c>
      <c r="H128">
        <v>42.834631000000002</v>
      </c>
      <c r="I128">
        <v>54</v>
      </c>
      <c r="J128" t="s">
        <v>362</v>
      </c>
      <c r="K128" t="s">
        <v>359</v>
      </c>
      <c r="Q128">
        <v>144</v>
      </c>
      <c r="S128">
        <v>2</v>
      </c>
      <c r="T128" t="s">
        <v>352</v>
      </c>
      <c r="U128" t="s">
        <v>355</v>
      </c>
      <c r="V128">
        <v>28</v>
      </c>
      <c r="W128" t="s">
        <v>385</v>
      </c>
    </row>
    <row r="129" spans="1:23" x14ac:dyDescent="0.25">
      <c r="A129" t="s">
        <v>288</v>
      </c>
      <c r="B129" s="14">
        <v>36.651000000000003</v>
      </c>
      <c r="C129" s="16" t="s">
        <v>513</v>
      </c>
      <c r="D129" s="16" t="s">
        <v>391</v>
      </c>
      <c r="E129" s="16" t="str">
        <f t="shared" si="3"/>
        <v>07-02M-WB</v>
      </c>
      <c r="F129" s="16" t="b">
        <f t="shared" si="4"/>
        <v>0</v>
      </c>
      <c r="G129">
        <v>-76.345568</v>
      </c>
      <c r="H129">
        <v>42.834631000000002</v>
      </c>
      <c r="I129">
        <v>54</v>
      </c>
      <c r="J129" t="s">
        <v>362</v>
      </c>
      <c r="K129" t="s">
        <v>360</v>
      </c>
      <c r="Q129">
        <v>97</v>
      </c>
      <c r="S129">
        <v>2</v>
      </c>
      <c r="T129" t="s">
        <v>352</v>
      </c>
      <c r="U129" t="s">
        <v>355</v>
      </c>
      <c r="W129" t="s">
        <v>385</v>
      </c>
    </row>
    <row r="130" spans="1:23" x14ac:dyDescent="0.25">
      <c r="A130" t="s">
        <v>171</v>
      </c>
      <c r="B130" s="14">
        <v>31.431999999999999</v>
      </c>
      <c r="C130" s="16" t="s">
        <v>514</v>
      </c>
      <c r="D130" s="16" t="s">
        <v>391</v>
      </c>
      <c r="E130" s="16" t="str">
        <f t="shared" si="3"/>
        <v>07-03M-EA</v>
      </c>
      <c r="F130" s="16" t="b">
        <f t="shared" si="4"/>
        <v>0</v>
      </c>
      <c r="G130">
        <v>-76.309956</v>
      </c>
      <c r="H130">
        <v>42.808920000000001</v>
      </c>
      <c r="I130">
        <v>1</v>
      </c>
      <c r="J130" t="s">
        <v>363</v>
      </c>
      <c r="K130" t="s">
        <v>359</v>
      </c>
      <c r="Q130">
        <v>73</v>
      </c>
      <c r="S130">
        <v>1</v>
      </c>
      <c r="T130" t="s">
        <v>357</v>
      </c>
      <c r="U130" t="s">
        <v>355</v>
      </c>
      <c r="V130">
        <v>67</v>
      </c>
      <c r="W130" t="s">
        <v>385</v>
      </c>
    </row>
    <row r="131" spans="1:23" x14ac:dyDescent="0.25">
      <c r="A131" t="s">
        <v>289</v>
      </c>
      <c r="B131" s="14">
        <v>67.257999999999996</v>
      </c>
      <c r="C131" s="16" t="s">
        <v>515</v>
      </c>
      <c r="D131" s="16" t="s">
        <v>391</v>
      </c>
      <c r="E131" s="16" t="str">
        <f t="shared" si="3"/>
        <v>07-03M-WA</v>
      </c>
      <c r="F131" s="16" t="b">
        <f t="shared" si="4"/>
        <v>0</v>
      </c>
      <c r="G131">
        <v>-76.309956</v>
      </c>
      <c r="H131">
        <v>42.808920000000001</v>
      </c>
      <c r="I131">
        <v>1</v>
      </c>
      <c r="J131" t="s">
        <v>363</v>
      </c>
      <c r="K131" t="s">
        <v>360</v>
      </c>
      <c r="Q131">
        <v>59</v>
      </c>
      <c r="S131">
        <v>0</v>
      </c>
      <c r="T131" t="s">
        <v>357</v>
      </c>
      <c r="U131" t="s">
        <v>355</v>
      </c>
      <c r="W131" t="s">
        <v>385</v>
      </c>
    </row>
    <row r="132" spans="1:23" x14ac:dyDescent="0.25">
      <c r="A132" t="s">
        <v>50</v>
      </c>
      <c r="B132" s="14">
        <v>18.111999999999998</v>
      </c>
      <c r="C132" s="16" t="s">
        <v>516</v>
      </c>
      <c r="D132" s="16" t="s">
        <v>391</v>
      </c>
      <c r="E132" s="16" t="str">
        <f t="shared" si="3"/>
        <v>07-03M-WB</v>
      </c>
      <c r="F132" s="16" t="b">
        <f t="shared" si="4"/>
        <v>0</v>
      </c>
      <c r="G132">
        <v>-76.309730500000001</v>
      </c>
      <c r="H132">
        <v>42.808940499999999</v>
      </c>
      <c r="I132">
        <v>3</v>
      </c>
      <c r="J132" t="s">
        <v>363</v>
      </c>
      <c r="K132" t="s">
        <v>359</v>
      </c>
      <c r="L132">
        <v>34</v>
      </c>
      <c r="M132">
        <v>61</v>
      </c>
      <c r="N132">
        <v>0</v>
      </c>
      <c r="O132" t="s">
        <v>352</v>
      </c>
      <c r="P132" t="s">
        <v>353</v>
      </c>
      <c r="Q132">
        <v>0</v>
      </c>
      <c r="S132">
        <v>0</v>
      </c>
      <c r="T132" t="s">
        <v>352</v>
      </c>
      <c r="U132" t="s">
        <v>356</v>
      </c>
      <c r="V132">
        <v>115</v>
      </c>
      <c r="W132" t="s">
        <v>385</v>
      </c>
    </row>
    <row r="133" spans="1:23" x14ac:dyDescent="0.25">
      <c r="A133" t="s">
        <v>331</v>
      </c>
      <c r="B133" s="14">
        <v>41.686</v>
      </c>
      <c r="C133" s="16" t="s">
        <v>517</v>
      </c>
      <c r="D133" s="16" t="s">
        <v>391</v>
      </c>
      <c r="E133" s="16" t="str">
        <f t="shared" si="3"/>
        <v>07-05M-EA</v>
      </c>
      <c r="F133" s="16" t="b">
        <f t="shared" si="4"/>
        <v>0</v>
      </c>
      <c r="G133">
        <v>-76.309730500000001</v>
      </c>
      <c r="H133">
        <v>42.808940499999999</v>
      </c>
      <c r="I133">
        <v>3</v>
      </c>
      <c r="J133" t="s">
        <v>363</v>
      </c>
      <c r="K133" t="s">
        <v>360</v>
      </c>
      <c r="Q133">
        <v>0</v>
      </c>
      <c r="S133">
        <v>0</v>
      </c>
      <c r="T133" t="s">
        <v>352</v>
      </c>
      <c r="U133" t="s">
        <v>356</v>
      </c>
      <c r="W133" t="s">
        <v>385</v>
      </c>
    </row>
    <row r="134" spans="1:23" x14ac:dyDescent="0.25">
      <c r="A134" t="s">
        <v>52</v>
      </c>
      <c r="B134" s="14">
        <v>30.085999999999999</v>
      </c>
      <c r="C134" s="16" t="s">
        <v>518</v>
      </c>
      <c r="D134" s="16" t="s">
        <v>416</v>
      </c>
      <c r="E134" s="16" t="str">
        <f t="shared" si="3"/>
        <v>07-05M-WA</v>
      </c>
      <c r="F134" s="16" t="b">
        <f t="shared" si="4"/>
        <v>0</v>
      </c>
      <c r="G134">
        <v>-76.309663999999998</v>
      </c>
      <c r="H134">
        <v>42.809136333333299</v>
      </c>
      <c r="I134">
        <v>5</v>
      </c>
      <c r="J134" t="s">
        <v>363</v>
      </c>
      <c r="K134" t="s">
        <v>359</v>
      </c>
      <c r="L134">
        <v>341</v>
      </c>
      <c r="M134">
        <v>331</v>
      </c>
      <c r="N134">
        <v>2</v>
      </c>
      <c r="O134" t="s">
        <v>352</v>
      </c>
      <c r="P134" t="s">
        <v>355</v>
      </c>
      <c r="Q134">
        <v>0</v>
      </c>
      <c r="S134">
        <v>0</v>
      </c>
      <c r="T134" t="s">
        <v>352</v>
      </c>
      <c r="U134" t="s">
        <v>356</v>
      </c>
      <c r="V134">
        <v>55</v>
      </c>
      <c r="W134" t="s">
        <v>385</v>
      </c>
    </row>
    <row r="135" spans="1:23" x14ac:dyDescent="0.25">
      <c r="A135" t="s">
        <v>332</v>
      </c>
      <c r="B135" s="14">
        <v>54.655000000000001</v>
      </c>
      <c r="C135" s="16" t="s">
        <v>519</v>
      </c>
      <c r="D135" s="16" t="s">
        <v>391</v>
      </c>
      <c r="E135" s="16" t="str">
        <f t="shared" si="3"/>
        <v>07-08M-EA</v>
      </c>
      <c r="F135" s="16" t="b">
        <f t="shared" si="4"/>
        <v>0</v>
      </c>
      <c r="G135">
        <v>-76.309663999999998</v>
      </c>
      <c r="H135">
        <v>42.809136333333299</v>
      </c>
      <c r="I135">
        <v>5</v>
      </c>
      <c r="J135" t="s">
        <v>363</v>
      </c>
      <c r="K135" t="s">
        <v>360</v>
      </c>
      <c r="Q135">
        <v>0</v>
      </c>
      <c r="S135">
        <v>2</v>
      </c>
      <c r="T135" t="s">
        <v>352</v>
      </c>
      <c r="U135" t="s">
        <v>356</v>
      </c>
      <c r="W135" t="s">
        <v>385</v>
      </c>
    </row>
    <row r="136" spans="1:23" x14ac:dyDescent="0.25">
      <c r="A136" t="s">
        <v>53</v>
      </c>
      <c r="B136" s="14">
        <v>63.286999999999999</v>
      </c>
      <c r="C136" s="16" t="s">
        <v>520</v>
      </c>
      <c r="D136" s="16" t="s">
        <v>416</v>
      </c>
      <c r="E136" s="16" t="str">
        <f t="shared" ref="E136:E199" si="5">RIGHT(C136,9)</f>
        <v>07-08M-WA</v>
      </c>
      <c r="F136" s="16" t="b">
        <f t="shared" si="4"/>
        <v>0</v>
      </c>
      <c r="G136">
        <v>-76.294479999999993</v>
      </c>
      <c r="H136">
        <v>42.811017</v>
      </c>
      <c r="I136">
        <v>8</v>
      </c>
      <c r="J136" t="s">
        <v>363</v>
      </c>
      <c r="K136" t="s">
        <v>359</v>
      </c>
      <c r="L136">
        <v>151</v>
      </c>
      <c r="M136">
        <v>55</v>
      </c>
      <c r="N136">
        <v>0</v>
      </c>
      <c r="O136" t="s">
        <v>352</v>
      </c>
      <c r="P136" t="s">
        <v>353</v>
      </c>
      <c r="Q136">
        <v>93</v>
      </c>
      <c r="S136">
        <v>0</v>
      </c>
      <c r="T136" t="s">
        <v>352</v>
      </c>
      <c r="U136" t="s">
        <v>354</v>
      </c>
      <c r="V136">
        <v>540</v>
      </c>
      <c r="W136" t="s">
        <v>385</v>
      </c>
    </row>
    <row r="137" spans="1:23" x14ac:dyDescent="0.25">
      <c r="A137" t="s">
        <v>54</v>
      </c>
      <c r="B137" s="14">
        <v>16.222999999999999</v>
      </c>
      <c r="C137" s="16" t="s">
        <v>521</v>
      </c>
      <c r="D137" s="16" t="s">
        <v>396</v>
      </c>
      <c r="E137" s="16" t="str">
        <f t="shared" si="5"/>
        <v>07-11M-EA</v>
      </c>
      <c r="F137" s="16" t="b">
        <f t="shared" si="4"/>
        <v>0</v>
      </c>
      <c r="G137">
        <v>-76.309595000000002</v>
      </c>
      <c r="H137">
        <v>42.809291000000002</v>
      </c>
      <c r="I137">
        <v>8</v>
      </c>
      <c r="J137" t="s">
        <v>363</v>
      </c>
      <c r="K137" t="s">
        <v>359</v>
      </c>
      <c r="L137">
        <v>174</v>
      </c>
      <c r="M137">
        <v>36</v>
      </c>
      <c r="N137">
        <v>0</v>
      </c>
      <c r="O137" t="s">
        <v>352</v>
      </c>
      <c r="P137" t="s">
        <v>356</v>
      </c>
      <c r="Q137">
        <v>0</v>
      </c>
      <c r="S137">
        <v>0</v>
      </c>
      <c r="T137" t="s">
        <v>352</v>
      </c>
      <c r="U137" t="s">
        <v>356</v>
      </c>
      <c r="V137">
        <v>316</v>
      </c>
      <c r="W137" t="s">
        <v>385</v>
      </c>
    </row>
    <row r="138" spans="1:23" x14ac:dyDescent="0.25">
      <c r="A138" t="s">
        <v>333</v>
      </c>
      <c r="B138" s="14">
        <v>88.231999999999999</v>
      </c>
      <c r="C138" s="16" t="s">
        <v>522</v>
      </c>
      <c r="D138" s="16" t="s">
        <v>416</v>
      </c>
      <c r="E138" s="16" t="str">
        <f t="shared" si="5"/>
        <v>07-11M-WA</v>
      </c>
      <c r="F138" s="16" t="b">
        <f t="shared" si="4"/>
        <v>0</v>
      </c>
      <c r="G138">
        <v>-76.309595000000002</v>
      </c>
      <c r="H138">
        <v>42.809291000000002</v>
      </c>
      <c r="I138">
        <v>8</v>
      </c>
      <c r="J138" t="s">
        <v>363</v>
      </c>
      <c r="K138" t="s">
        <v>360</v>
      </c>
      <c r="Q138">
        <v>44</v>
      </c>
      <c r="S138">
        <v>0</v>
      </c>
      <c r="T138" t="s">
        <v>352</v>
      </c>
      <c r="U138" t="s">
        <v>356</v>
      </c>
      <c r="W138" t="s">
        <v>385</v>
      </c>
    </row>
    <row r="139" spans="1:23" x14ac:dyDescent="0.25">
      <c r="A139" t="s">
        <v>173</v>
      </c>
      <c r="B139" s="14">
        <v>55.491999999999997</v>
      </c>
      <c r="C139" s="16" t="s">
        <v>523</v>
      </c>
      <c r="D139" s="16" t="s">
        <v>416</v>
      </c>
      <c r="E139" s="16" t="str">
        <f t="shared" si="5"/>
        <v>07-14M-EA</v>
      </c>
      <c r="F139" s="16" t="b">
        <f t="shared" si="4"/>
        <v>0</v>
      </c>
      <c r="G139">
        <v>-76.309424000000007</v>
      </c>
      <c r="H139">
        <v>42.809382999999997</v>
      </c>
      <c r="I139">
        <v>12</v>
      </c>
      <c r="J139" t="s">
        <v>363</v>
      </c>
      <c r="K139" t="s">
        <v>359</v>
      </c>
      <c r="Q139">
        <v>56</v>
      </c>
      <c r="S139">
        <v>1</v>
      </c>
      <c r="T139" t="s">
        <v>352</v>
      </c>
      <c r="U139" t="s">
        <v>355</v>
      </c>
      <c r="V139">
        <v>58</v>
      </c>
      <c r="W139" t="s">
        <v>385</v>
      </c>
    </row>
    <row r="140" spans="1:23" x14ac:dyDescent="0.25">
      <c r="A140" t="s">
        <v>290</v>
      </c>
      <c r="B140" s="14">
        <v>68.543000000000006</v>
      </c>
      <c r="C140" s="16" t="s">
        <v>524</v>
      </c>
      <c r="D140" s="16" t="s">
        <v>416</v>
      </c>
      <c r="E140" s="16" t="str">
        <f t="shared" si="5"/>
        <v>07-14M-WA</v>
      </c>
      <c r="F140" s="16" t="b">
        <f t="shared" si="4"/>
        <v>0</v>
      </c>
      <c r="G140">
        <v>-76.309424000000007</v>
      </c>
      <c r="H140">
        <v>42.809382999999997</v>
      </c>
      <c r="I140">
        <v>12</v>
      </c>
      <c r="J140" t="s">
        <v>363</v>
      </c>
      <c r="K140" t="s">
        <v>360</v>
      </c>
      <c r="Q140">
        <v>103</v>
      </c>
      <c r="S140">
        <v>2</v>
      </c>
      <c r="T140" t="s">
        <v>352</v>
      </c>
      <c r="U140" t="s">
        <v>355</v>
      </c>
      <c r="W140" t="s">
        <v>385</v>
      </c>
    </row>
    <row r="141" spans="1:23" x14ac:dyDescent="0.25">
      <c r="A141" t="s">
        <v>175</v>
      </c>
      <c r="B141" s="14">
        <v>44.151000000000003</v>
      </c>
      <c r="C141" s="16" t="s">
        <v>525</v>
      </c>
      <c r="D141" s="16" t="s">
        <v>416</v>
      </c>
      <c r="E141" s="16" t="str">
        <f t="shared" si="5"/>
        <v>07-17M-EA</v>
      </c>
      <c r="F141" s="16" t="b">
        <f t="shared" si="4"/>
        <v>0</v>
      </c>
      <c r="G141">
        <v>-76.309289000000007</v>
      </c>
      <c r="H141">
        <v>42.809323999999997</v>
      </c>
      <c r="I141">
        <v>14</v>
      </c>
      <c r="J141" t="s">
        <v>363</v>
      </c>
      <c r="K141" t="s">
        <v>359</v>
      </c>
      <c r="Q141">
        <v>160</v>
      </c>
      <c r="S141">
        <v>0</v>
      </c>
      <c r="T141" t="s">
        <v>352</v>
      </c>
      <c r="U141" t="s">
        <v>355</v>
      </c>
      <c r="V141">
        <v>101</v>
      </c>
      <c r="W141" t="s">
        <v>385</v>
      </c>
    </row>
    <row r="142" spans="1:23" x14ac:dyDescent="0.25">
      <c r="A142" t="s">
        <v>334</v>
      </c>
      <c r="B142" s="14">
        <v>60.222999999999999</v>
      </c>
      <c r="C142" s="16" t="s">
        <v>526</v>
      </c>
      <c r="D142" s="16" t="s">
        <v>416</v>
      </c>
      <c r="E142" s="16" t="str">
        <f t="shared" si="5"/>
        <v>07-17M-WA</v>
      </c>
      <c r="F142" s="16" t="b">
        <f t="shared" si="4"/>
        <v>0</v>
      </c>
      <c r="G142">
        <v>-76.309289000000007</v>
      </c>
      <c r="H142">
        <v>42.809323999999997</v>
      </c>
      <c r="I142">
        <v>14</v>
      </c>
      <c r="J142" t="s">
        <v>363</v>
      </c>
      <c r="K142" t="s">
        <v>360</v>
      </c>
      <c r="Q142">
        <v>26</v>
      </c>
      <c r="S142">
        <v>0</v>
      </c>
      <c r="T142" t="s">
        <v>352</v>
      </c>
      <c r="U142" t="s">
        <v>353</v>
      </c>
      <c r="W142" t="s">
        <v>385</v>
      </c>
    </row>
    <row r="143" spans="1:23" x14ac:dyDescent="0.25">
      <c r="A143" t="s">
        <v>176</v>
      </c>
      <c r="B143" s="14">
        <v>42.545000000000002</v>
      </c>
      <c r="C143" s="16" t="s">
        <v>527</v>
      </c>
      <c r="D143" s="16" t="s">
        <v>396</v>
      </c>
      <c r="E143" s="16" t="str">
        <f t="shared" si="5"/>
        <v>07-24M-EA</v>
      </c>
      <c r="F143" s="16" t="b">
        <f t="shared" si="4"/>
        <v>0</v>
      </c>
      <c r="G143">
        <v>-76.309134999999998</v>
      </c>
      <c r="H143">
        <v>42.809303999999997</v>
      </c>
      <c r="I143">
        <v>17</v>
      </c>
      <c r="J143" t="s">
        <v>363</v>
      </c>
      <c r="K143" t="s">
        <v>359</v>
      </c>
      <c r="Q143">
        <v>99</v>
      </c>
      <c r="S143">
        <v>2</v>
      </c>
      <c r="T143" t="s">
        <v>352</v>
      </c>
      <c r="U143" t="s">
        <v>355</v>
      </c>
      <c r="V143">
        <v>190</v>
      </c>
      <c r="W143" t="s">
        <v>385</v>
      </c>
    </row>
    <row r="144" spans="1:23" x14ac:dyDescent="0.25">
      <c r="A144" t="s">
        <v>291</v>
      </c>
      <c r="B144" s="14">
        <v>43.29</v>
      </c>
      <c r="C144" s="16" t="s">
        <v>528</v>
      </c>
      <c r="D144" s="16" t="s">
        <v>396</v>
      </c>
      <c r="E144" s="16" t="str">
        <f t="shared" si="5"/>
        <v>07-24M-EB</v>
      </c>
      <c r="F144" s="16" t="b">
        <f t="shared" si="4"/>
        <v>0</v>
      </c>
      <c r="G144">
        <v>-76.309134999999998</v>
      </c>
      <c r="H144">
        <v>42.809303999999997</v>
      </c>
      <c r="I144">
        <v>17</v>
      </c>
      <c r="J144" t="s">
        <v>363</v>
      </c>
      <c r="K144" t="s">
        <v>360</v>
      </c>
      <c r="Q144">
        <v>122</v>
      </c>
      <c r="S144">
        <v>2</v>
      </c>
      <c r="T144" t="s">
        <v>352</v>
      </c>
      <c r="U144" t="s">
        <v>355</v>
      </c>
      <c r="W144" t="s">
        <v>385</v>
      </c>
    </row>
    <row r="145" spans="1:23" x14ac:dyDescent="0.25">
      <c r="A145" t="s">
        <v>177</v>
      </c>
      <c r="B145" s="14">
        <v>30.312000000000001</v>
      </c>
      <c r="C145" s="16" t="s">
        <v>529</v>
      </c>
      <c r="D145" s="16" t="s">
        <v>396</v>
      </c>
      <c r="E145" s="16" t="str">
        <f t="shared" si="5"/>
        <v>07-24M-WA</v>
      </c>
      <c r="F145" s="16" t="b">
        <f t="shared" si="4"/>
        <v>0</v>
      </c>
      <c r="G145">
        <v>-76.293622999999997</v>
      </c>
      <c r="H145">
        <v>42.809680999999998</v>
      </c>
      <c r="I145">
        <v>24</v>
      </c>
      <c r="J145" t="s">
        <v>363</v>
      </c>
      <c r="K145" t="s">
        <v>359</v>
      </c>
      <c r="Q145">
        <v>575</v>
      </c>
      <c r="S145">
        <v>2</v>
      </c>
      <c r="T145" t="s">
        <v>352</v>
      </c>
      <c r="U145" t="s">
        <v>355</v>
      </c>
      <c r="V145">
        <v>96</v>
      </c>
      <c r="W145" t="s">
        <v>385</v>
      </c>
    </row>
    <row r="146" spans="1:23" x14ac:dyDescent="0.25">
      <c r="A146" t="s">
        <v>335</v>
      </c>
      <c r="B146" s="14">
        <v>8.1359999999999992</v>
      </c>
      <c r="C146" s="16" t="s">
        <v>530</v>
      </c>
      <c r="D146" s="16" t="s">
        <v>427</v>
      </c>
      <c r="E146" s="16" t="str">
        <f t="shared" si="5"/>
        <v>07-31M-EA</v>
      </c>
      <c r="F146" s="16" t="b">
        <f t="shared" si="4"/>
        <v>0</v>
      </c>
      <c r="G146">
        <v>-76.293622999999997</v>
      </c>
      <c r="H146">
        <v>42.809680999999998</v>
      </c>
      <c r="I146">
        <v>24</v>
      </c>
      <c r="J146" t="s">
        <v>363</v>
      </c>
      <c r="K146" t="s">
        <v>360</v>
      </c>
      <c r="Q146">
        <v>0</v>
      </c>
      <c r="S146">
        <v>0</v>
      </c>
      <c r="T146" t="s">
        <v>352</v>
      </c>
      <c r="U146" t="s">
        <v>355</v>
      </c>
      <c r="W146" t="s">
        <v>385</v>
      </c>
    </row>
    <row r="147" spans="1:23" x14ac:dyDescent="0.25">
      <c r="A147" t="s">
        <v>178</v>
      </c>
      <c r="B147" s="14">
        <v>4.6760000000000002</v>
      </c>
      <c r="C147" s="16" t="s">
        <v>531</v>
      </c>
      <c r="D147" s="16" t="s">
        <v>427</v>
      </c>
      <c r="E147" s="16" t="str">
        <f t="shared" si="5"/>
        <v>07-31M-WA</v>
      </c>
      <c r="F147" s="16" t="b">
        <f t="shared" si="4"/>
        <v>0</v>
      </c>
      <c r="G147">
        <v>-76.308937</v>
      </c>
      <c r="H147">
        <v>42.809263999999999</v>
      </c>
      <c r="I147">
        <v>24</v>
      </c>
      <c r="J147" t="s">
        <v>363</v>
      </c>
      <c r="K147" t="s">
        <v>359</v>
      </c>
      <c r="Q147">
        <v>186</v>
      </c>
      <c r="S147">
        <v>1</v>
      </c>
      <c r="T147" t="s">
        <v>352</v>
      </c>
      <c r="U147" t="s">
        <v>355</v>
      </c>
      <c r="V147">
        <v>23</v>
      </c>
      <c r="W147" t="s">
        <v>385</v>
      </c>
    </row>
    <row r="148" spans="1:23" x14ac:dyDescent="0.25">
      <c r="A148" t="s">
        <v>292</v>
      </c>
      <c r="B148" s="14">
        <v>8.93</v>
      </c>
      <c r="C148" s="16" t="s">
        <v>532</v>
      </c>
      <c r="D148" s="16" t="s">
        <v>427</v>
      </c>
      <c r="E148" s="16" t="str">
        <f t="shared" si="5"/>
        <v>07-38M-EA</v>
      </c>
      <c r="F148" s="16" t="b">
        <f t="shared" si="4"/>
        <v>0</v>
      </c>
      <c r="G148">
        <v>-76.308937</v>
      </c>
      <c r="H148">
        <v>42.809263999999999</v>
      </c>
      <c r="I148">
        <v>24</v>
      </c>
      <c r="J148" t="s">
        <v>363</v>
      </c>
      <c r="K148" t="s">
        <v>360</v>
      </c>
      <c r="Q148">
        <v>187</v>
      </c>
      <c r="S148">
        <v>1</v>
      </c>
      <c r="T148" t="s">
        <v>352</v>
      </c>
      <c r="U148" t="s">
        <v>355</v>
      </c>
      <c r="W148" t="s">
        <v>385</v>
      </c>
    </row>
    <row r="149" spans="1:23" x14ac:dyDescent="0.25">
      <c r="A149" t="s">
        <v>293</v>
      </c>
      <c r="B149" s="14">
        <v>32.383000000000003</v>
      </c>
      <c r="C149" s="16" t="s">
        <v>533</v>
      </c>
      <c r="D149" s="16" t="s">
        <v>427</v>
      </c>
      <c r="E149" s="16" t="str">
        <f t="shared" si="5"/>
        <v>07-38M-WA</v>
      </c>
      <c r="F149" s="16" t="b">
        <f t="shared" si="4"/>
        <v>0</v>
      </c>
      <c r="G149">
        <v>-76.308739000000003</v>
      </c>
      <c r="H149">
        <v>42.809251000000003</v>
      </c>
      <c r="I149">
        <v>30</v>
      </c>
      <c r="J149" t="s">
        <v>363</v>
      </c>
      <c r="K149" t="s">
        <v>359</v>
      </c>
      <c r="Q149">
        <v>292</v>
      </c>
      <c r="S149">
        <v>1</v>
      </c>
      <c r="T149" t="s">
        <v>352</v>
      </c>
      <c r="U149" t="s">
        <v>355</v>
      </c>
      <c r="V149">
        <v>129</v>
      </c>
      <c r="W149" t="s">
        <v>385</v>
      </c>
    </row>
    <row r="150" spans="1:23" x14ac:dyDescent="0.25">
      <c r="A150" t="s">
        <v>294</v>
      </c>
      <c r="B150" s="14">
        <v>55.877000000000002</v>
      </c>
      <c r="C150" s="16" t="s">
        <v>534</v>
      </c>
      <c r="D150" s="16" t="s">
        <v>427</v>
      </c>
      <c r="E150" s="16" t="str">
        <f t="shared" si="5"/>
        <v>07-45M-EA</v>
      </c>
      <c r="F150" s="16" t="b">
        <f t="shared" ref="F150:F213" si="6">E150=A145</f>
        <v>0</v>
      </c>
      <c r="G150">
        <v>-76.308739000000003</v>
      </c>
      <c r="H150">
        <v>42.809251000000003</v>
      </c>
      <c r="I150">
        <v>30</v>
      </c>
      <c r="J150" t="s">
        <v>363</v>
      </c>
      <c r="K150" t="s">
        <v>360</v>
      </c>
      <c r="Q150">
        <v>162</v>
      </c>
      <c r="S150">
        <v>1</v>
      </c>
      <c r="T150" t="s">
        <v>352</v>
      </c>
      <c r="U150" t="s">
        <v>355</v>
      </c>
      <c r="W150" t="s">
        <v>385</v>
      </c>
    </row>
    <row r="151" spans="1:23" x14ac:dyDescent="0.25">
      <c r="A151" t="s">
        <v>179</v>
      </c>
      <c r="B151" s="14">
        <v>41.146000000000001</v>
      </c>
      <c r="C151" s="16" t="s">
        <v>535</v>
      </c>
      <c r="D151" s="16" t="s">
        <v>427</v>
      </c>
      <c r="E151" s="16" t="str">
        <f t="shared" si="5"/>
        <v>07-45M-WA</v>
      </c>
      <c r="F151" s="16" t="b">
        <f t="shared" si="6"/>
        <v>0</v>
      </c>
      <c r="G151">
        <v>-76.293777000000006</v>
      </c>
      <c r="H151">
        <v>42.809516000000002</v>
      </c>
      <c r="I151">
        <v>31</v>
      </c>
      <c r="J151" t="s">
        <v>363</v>
      </c>
      <c r="K151" t="s">
        <v>359</v>
      </c>
      <c r="Q151">
        <v>167</v>
      </c>
      <c r="S151">
        <v>2</v>
      </c>
      <c r="T151" t="s">
        <v>352</v>
      </c>
      <c r="U151" t="s">
        <v>355</v>
      </c>
      <c r="V151">
        <v>40</v>
      </c>
      <c r="W151" t="s">
        <v>385</v>
      </c>
    </row>
    <row r="152" spans="1:23" x14ac:dyDescent="0.25">
      <c r="A152" t="s">
        <v>180</v>
      </c>
      <c r="B152" s="14">
        <v>41.92</v>
      </c>
      <c r="C152" s="16" t="s">
        <v>536</v>
      </c>
      <c r="D152" s="16" t="s">
        <v>427</v>
      </c>
      <c r="E152" s="16" t="str">
        <f t="shared" si="5"/>
        <v>07-52M-WA</v>
      </c>
      <c r="F152" s="16" t="b">
        <f t="shared" si="6"/>
        <v>0</v>
      </c>
      <c r="G152">
        <v>-76.308504999999997</v>
      </c>
      <c r="H152">
        <v>42.809263999999999</v>
      </c>
      <c r="I152">
        <v>35</v>
      </c>
      <c r="J152" t="s">
        <v>363</v>
      </c>
      <c r="K152" t="s">
        <v>359</v>
      </c>
      <c r="Q152">
        <v>153</v>
      </c>
      <c r="S152">
        <v>2</v>
      </c>
      <c r="T152" t="s">
        <v>352</v>
      </c>
      <c r="U152" t="s">
        <v>355</v>
      </c>
      <c r="V152">
        <v>166</v>
      </c>
      <c r="W152" t="s">
        <v>385</v>
      </c>
    </row>
    <row r="153" spans="1:23" x14ac:dyDescent="0.25">
      <c r="A153" t="s">
        <v>295</v>
      </c>
      <c r="B153" s="14">
        <v>33.58</v>
      </c>
      <c r="C153" s="16" t="s">
        <v>537</v>
      </c>
      <c r="D153" s="16" t="s">
        <v>427</v>
      </c>
      <c r="E153" s="16" t="str">
        <f t="shared" si="5"/>
        <v>07-52M-WB</v>
      </c>
      <c r="F153" s="16" t="b">
        <f t="shared" si="6"/>
        <v>0</v>
      </c>
      <c r="G153">
        <v>-76.308504999999997</v>
      </c>
      <c r="H153">
        <v>42.809263999999999</v>
      </c>
      <c r="I153">
        <v>35</v>
      </c>
      <c r="J153" t="s">
        <v>363</v>
      </c>
      <c r="K153" t="s">
        <v>360</v>
      </c>
      <c r="Q153">
        <v>130</v>
      </c>
      <c r="S153">
        <v>2</v>
      </c>
      <c r="T153" t="s">
        <v>352</v>
      </c>
      <c r="U153" t="s">
        <v>355</v>
      </c>
      <c r="W153" t="s">
        <v>385</v>
      </c>
    </row>
    <row r="154" spans="1:23" x14ac:dyDescent="0.25">
      <c r="A154" t="s">
        <v>181</v>
      </c>
      <c r="B154" s="14">
        <v>26.361000000000001</v>
      </c>
      <c r="C154" s="16" t="s">
        <v>538</v>
      </c>
      <c r="D154" s="16" t="s">
        <v>396</v>
      </c>
      <c r="E154" s="16" t="str">
        <f t="shared" si="5"/>
        <v>X1-21M-WA</v>
      </c>
      <c r="F154" s="16" t="b">
        <f t="shared" si="6"/>
        <v>0</v>
      </c>
      <c r="G154">
        <v>-76.293858</v>
      </c>
      <c r="H154">
        <v>42.809475999999997</v>
      </c>
      <c r="I154">
        <v>38</v>
      </c>
      <c r="J154" t="s">
        <v>363</v>
      </c>
      <c r="K154" t="s">
        <v>359</v>
      </c>
      <c r="Q154">
        <v>124</v>
      </c>
      <c r="S154">
        <v>1</v>
      </c>
      <c r="T154" t="s">
        <v>352</v>
      </c>
      <c r="U154" t="s">
        <v>355</v>
      </c>
      <c r="V154">
        <v>152</v>
      </c>
      <c r="W154" t="s">
        <v>385</v>
      </c>
    </row>
    <row r="155" spans="1:23" x14ac:dyDescent="0.25">
      <c r="A155" t="s">
        <v>182</v>
      </c>
      <c r="B155" s="14">
        <v>52.232999999999997</v>
      </c>
      <c r="C155" s="16" t="s">
        <v>539</v>
      </c>
      <c r="D155" s="16" t="s">
        <v>396</v>
      </c>
      <c r="E155" s="16" t="str">
        <f t="shared" si="5"/>
        <v>X1-21M-WB</v>
      </c>
      <c r="F155" s="16" t="b">
        <f t="shared" si="6"/>
        <v>0</v>
      </c>
      <c r="G155">
        <v>-76.308386999999996</v>
      </c>
      <c r="H155">
        <v>42.809364000000002</v>
      </c>
      <c r="I155">
        <v>43</v>
      </c>
      <c r="J155" t="s">
        <v>363</v>
      </c>
      <c r="K155" t="s">
        <v>359</v>
      </c>
      <c r="Q155">
        <v>105</v>
      </c>
      <c r="S155">
        <v>2</v>
      </c>
      <c r="T155" t="s">
        <v>352</v>
      </c>
      <c r="U155" t="s">
        <v>355</v>
      </c>
      <c r="V155">
        <v>185</v>
      </c>
      <c r="W155" t="s">
        <v>385</v>
      </c>
    </row>
    <row r="156" spans="1:23" x14ac:dyDescent="0.25">
      <c r="A156" t="s">
        <v>296</v>
      </c>
      <c r="B156" s="14">
        <v>26.029</v>
      </c>
      <c r="C156" s="16" t="s">
        <v>540</v>
      </c>
      <c r="D156" s="16" t="s">
        <v>396</v>
      </c>
      <c r="E156" s="16" t="str">
        <f t="shared" si="5"/>
        <v>X1-24M-WA</v>
      </c>
      <c r="F156" s="16" t="b">
        <f t="shared" si="6"/>
        <v>0</v>
      </c>
      <c r="G156">
        <v>-76.308386999999996</v>
      </c>
      <c r="H156">
        <v>42.809364000000002</v>
      </c>
      <c r="I156">
        <v>43</v>
      </c>
      <c r="J156" t="s">
        <v>363</v>
      </c>
      <c r="K156" t="s">
        <v>360</v>
      </c>
      <c r="Q156">
        <v>210</v>
      </c>
      <c r="S156">
        <v>2</v>
      </c>
      <c r="T156" t="s">
        <v>352</v>
      </c>
      <c r="U156" t="s">
        <v>355</v>
      </c>
      <c r="W156" t="s">
        <v>385</v>
      </c>
    </row>
    <row r="157" spans="1:23" x14ac:dyDescent="0.25">
      <c r="A157" t="s">
        <v>183</v>
      </c>
      <c r="B157" s="14">
        <v>27.167000000000002</v>
      </c>
      <c r="C157" s="16" t="s">
        <v>541</v>
      </c>
      <c r="D157" s="16" t="s">
        <v>396</v>
      </c>
      <c r="E157" s="16" t="str">
        <f t="shared" si="5"/>
        <v>X1-24M-WB</v>
      </c>
      <c r="F157" s="16" t="b">
        <f t="shared" si="6"/>
        <v>0</v>
      </c>
      <c r="G157">
        <v>-76.294020000000003</v>
      </c>
      <c r="H157">
        <v>42.809443000000002</v>
      </c>
      <c r="I157">
        <v>45</v>
      </c>
      <c r="J157" t="s">
        <v>363</v>
      </c>
      <c r="K157" t="s">
        <v>359</v>
      </c>
      <c r="Q157">
        <v>86</v>
      </c>
      <c r="S157">
        <v>1</v>
      </c>
      <c r="T157" t="s">
        <v>352</v>
      </c>
      <c r="U157" t="s">
        <v>355</v>
      </c>
      <c r="V157">
        <v>44</v>
      </c>
      <c r="W157" t="s">
        <v>385</v>
      </c>
    </row>
    <row r="158" spans="1:23" x14ac:dyDescent="0.25">
      <c r="A158" t="s">
        <v>184</v>
      </c>
      <c r="B158" s="14">
        <v>43.040999999999997</v>
      </c>
      <c r="C158" s="16" t="s">
        <v>542</v>
      </c>
      <c r="D158" s="16" t="s">
        <v>396</v>
      </c>
      <c r="E158" s="16" t="str">
        <f t="shared" si="5"/>
        <v>X1-28M-WA</v>
      </c>
      <c r="F158" s="16" t="b">
        <f t="shared" si="6"/>
        <v>0</v>
      </c>
      <c r="G158">
        <v>-76.308134999999993</v>
      </c>
      <c r="H158">
        <v>42.809330000000003</v>
      </c>
      <c r="I158">
        <v>50</v>
      </c>
      <c r="J158" t="s">
        <v>363</v>
      </c>
      <c r="K158" t="s">
        <v>359</v>
      </c>
      <c r="Q158">
        <v>123</v>
      </c>
      <c r="S158">
        <v>2</v>
      </c>
      <c r="T158" t="s">
        <v>352</v>
      </c>
      <c r="U158" t="s">
        <v>355</v>
      </c>
      <c r="V158">
        <v>50</v>
      </c>
      <c r="W158" t="s">
        <v>385</v>
      </c>
    </row>
    <row r="159" spans="1:23" x14ac:dyDescent="0.25">
      <c r="A159" t="s">
        <v>185</v>
      </c>
      <c r="B159" s="14">
        <v>22.402000000000001</v>
      </c>
      <c r="C159" s="16" t="s">
        <v>543</v>
      </c>
      <c r="D159" s="16" t="s">
        <v>396</v>
      </c>
      <c r="E159" s="16" t="str">
        <f t="shared" si="5"/>
        <v>X1-28M-WB</v>
      </c>
      <c r="F159" s="16" t="b">
        <f t="shared" si="6"/>
        <v>0</v>
      </c>
      <c r="G159">
        <v>-76.294263000000001</v>
      </c>
      <c r="H159">
        <v>42.809455999999997</v>
      </c>
      <c r="I159">
        <v>52</v>
      </c>
      <c r="J159" t="s">
        <v>363</v>
      </c>
      <c r="K159" t="s">
        <v>359</v>
      </c>
      <c r="Q159">
        <v>134</v>
      </c>
      <c r="S159">
        <v>2</v>
      </c>
      <c r="T159" t="s">
        <v>352</v>
      </c>
      <c r="U159" t="s">
        <v>355</v>
      </c>
      <c r="V159">
        <v>86</v>
      </c>
      <c r="W159" t="s">
        <v>385</v>
      </c>
    </row>
    <row r="160" spans="1:23" x14ac:dyDescent="0.25">
      <c r="A160" t="s">
        <v>194</v>
      </c>
      <c r="B160" s="14">
        <v>41.283999999999999</v>
      </c>
      <c r="C160" s="16" t="s">
        <v>544</v>
      </c>
      <c r="D160" s="16" t="s">
        <v>396</v>
      </c>
      <c r="E160" s="16" t="str">
        <f t="shared" si="5"/>
        <v>X1-29M-WA</v>
      </c>
      <c r="F160" s="16" t="b">
        <f t="shared" si="6"/>
        <v>0</v>
      </c>
      <c r="G160">
        <v>-76.270216000000005</v>
      </c>
      <c r="H160">
        <v>42.772196999999998</v>
      </c>
      <c r="I160">
        <v>2</v>
      </c>
      <c r="J160" t="s">
        <v>372</v>
      </c>
      <c r="K160" t="s">
        <v>359</v>
      </c>
      <c r="Q160">
        <v>140</v>
      </c>
      <c r="S160">
        <v>2</v>
      </c>
      <c r="T160" t="s">
        <v>357</v>
      </c>
      <c r="U160" t="s">
        <v>355</v>
      </c>
      <c r="V160">
        <v>266</v>
      </c>
      <c r="W160" t="s">
        <v>385</v>
      </c>
    </row>
    <row r="161" spans="1:23" x14ac:dyDescent="0.25">
      <c r="A161" t="s">
        <v>297</v>
      </c>
      <c r="B161" s="14">
        <v>23.687999999999999</v>
      </c>
      <c r="C161" s="16" t="s">
        <v>545</v>
      </c>
      <c r="D161" s="16" t="s">
        <v>396</v>
      </c>
      <c r="E161" s="16" t="str">
        <f t="shared" si="5"/>
        <v>X1-32M-WA</v>
      </c>
      <c r="F161" s="16" t="b">
        <f t="shared" si="6"/>
        <v>0</v>
      </c>
      <c r="G161">
        <v>-76.270216000000005</v>
      </c>
      <c r="H161">
        <v>42.772196999999998</v>
      </c>
      <c r="I161">
        <v>2</v>
      </c>
      <c r="J161" t="s">
        <v>372</v>
      </c>
      <c r="K161" t="s">
        <v>360</v>
      </c>
      <c r="Q161">
        <v>301</v>
      </c>
      <c r="S161">
        <v>2</v>
      </c>
      <c r="T161" t="s">
        <v>357</v>
      </c>
      <c r="U161" t="s">
        <v>355</v>
      </c>
      <c r="W161" t="s">
        <v>385</v>
      </c>
    </row>
    <row r="162" spans="1:23" x14ac:dyDescent="0.25">
      <c r="A162" t="s">
        <v>298</v>
      </c>
      <c r="B162" s="14">
        <v>52.222000000000001</v>
      </c>
      <c r="C162" s="16" t="s">
        <v>546</v>
      </c>
      <c r="D162" s="16" t="s">
        <v>396</v>
      </c>
      <c r="E162" s="16" t="str">
        <f t="shared" si="5"/>
        <v>X1-35M-WA</v>
      </c>
      <c r="F162" s="16" t="b">
        <f t="shared" si="6"/>
        <v>0</v>
      </c>
      <c r="G162">
        <v>-76.270216000000005</v>
      </c>
      <c r="H162">
        <v>42.772196999999998</v>
      </c>
      <c r="I162">
        <v>2</v>
      </c>
      <c r="J162" t="s">
        <v>372</v>
      </c>
      <c r="K162" t="s">
        <v>366</v>
      </c>
      <c r="Q162">
        <v>399</v>
      </c>
      <c r="S162">
        <v>2</v>
      </c>
      <c r="T162" t="s">
        <v>357</v>
      </c>
      <c r="U162" t="s">
        <v>380</v>
      </c>
      <c r="W162" t="s">
        <v>385</v>
      </c>
    </row>
    <row r="163" spans="1:23" x14ac:dyDescent="0.25">
      <c r="A163" t="s">
        <v>195</v>
      </c>
      <c r="B163" s="14">
        <v>25.905000000000001</v>
      </c>
      <c r="C163" s="16" t="s">
        <v>547</v>
      </c>
      <c r="D163" s="16" t="s">
        <v>387</v>
      </c>
      <c r="E163" s="16" t="str">
        <f t="shared" si="5"/>
        <v>X3-03M-WA</v>
      </c>
      <c r="F163" s="16" t="b">
        <f t="shared" si="6"/>
        <v>0</v>
      </c>
      <c r="G163">
        <v>-76.280788000000001</v>
      </c>
      <c r="H163">
        <v>42.779296000000002</v>
      </c>
      <c r="I163">
        <v>2</v>
      </c>
      <c r="J163" t="s">
        <v>372</v>
      </c>
      <c r="K163" t="s">
        <v>359</v>
      </c>
      <c r="Q163">
        <v>129</v>
      </c>
      <c r="S163">
        <v>1</v>
      </c>
      <c r="T163" t="s">
        <v>357</v>
      </c>
      <c r="U163" t="s">
        <v>354</v>
      </c>
      <c r="V163">
        <v>74</v>
      </c>
      <c r="W163" t="s">
        <v>385</v>
      </c>
    </row>
    <row r="164" spans="1:23" x14ac:dyDescent="0.25">
      <c r="A164" t="s">
        <v>299</v>
      </c>
      <c r="B164" s="14">
        <v>16.873000000000001</v>
      </c>
      <c r="C164" s="16" t="s">
        <v>548</v>
      </c>
      <c r="D164" s="16" t="s">
        <v>387</v>
      </c>
      <c r="E164" s="16" t="str">
        <f t="shared" si="5"/>
        <v>X3-03M-WB</v>
      </c>
      <c r="F164" s="16" t="b">
        <f t="shared" si="6"/>
        <v>0</v>
      </c>
      <c r="G164">
        <v>-76.280788000000001</v>
      </c>
      <c r="H164">
        <v>42.779296000000002</v>
      </c>
      <c r="I164">
        <v>2</v>
      </c>
      <c r="J164" t="s">
        <v>372</v>
      </c>
      <c r="K164" t="s">
        <v>360</v>
      </c>
      <c r="Q164">
        <v>145</v>
      </c>
      <c r="S164">
        <v>2</v>
      </c>
      <c r="T164" t="s">
        <v>352</v>
      </c>
      <c r="U164" t="s">
        <v>353</v>
      </c>
      <c r="W164" t="s">
        <v>385</v>
      </c>
    </row>
    <row r="165" spans="1:23" x14ac:dyDescent="0.25">
      <c r="A165" t="s">
        <v>196</v>
      </c>
      <c r="B165" s="14">
        <v>25.954999999999998</v>
      </c>
      <c r="C165" s="16" t="s">
        <v>549</v>
      </c>
      <c r="D165" s="16" t="s">
        <v>387</v>
      </c>
      <c r="E165" s="16" t="str">
        <f t="shared" si="5"/>
        <v>X3-05M-WA</v>
      </c>
      <c r="F165" s="16" t="b">
        <f t="shared" si="6"/>
        <v>0</v>
      </c>
      <c r="G165">
        <v>-76.269115999999997</v>
      </c>
      <c r="H165">
        <v>42.779567999999998</v>
      </c>
      <c r="I165">
        <v>3</v>
      </c>
      <c r="J165" t="s">
        <v>372</v>
      </c>
      <c r="K165" t="s">
        <v>359</v>
      </c>
      <c r="Q165">
        <v>216</v>
      </c>
      <c r="S165">
        <v>1</v>
      </c>
      <c r="T165" t="s">
        <v>357</v>
      </c>
      <c r="U165" t="s">
        <v>380</v>
      </c>
      <c r="V165">
        <v>1</v>
      </c>
      <c r="W165" t="s">
        <v>385</v>
      </c>
    </row>
    <row r="166" spans="1:23" x14ac:dyDescent="0.25">
      <c r="A166" t="s">
        <v>197</v>
      </c>
      <c r="B166" s="14">
        <v>33.320999999999998</v>
      </c>
      <c r="C166" s="16" t="s">
        <v>550</v>
      </c>
      <c r="D166" s="16" t="s">
        <v>387</v>
      </c>
      <c r="E166" s="16" t="str">
        <f t="shared" si="5"/>
        <v>X3-05M-WB</v>
      </c>
      <c r="F166" s="16" t="b">
        <f t="shared" si="6"/>
        <v>0</v>
      </c>
      <c r="G166">
        <v>-76.280670999999998</v>
      </c>
      <c r="H166">
        <v>42.779349000000003</v>
      </c>
      <c r="I166">
        <v>3</v>
      </c>
      <c r="J166" t="s">
        <v>372</v>
      </c>
      <c r="K166" t="s">
        <v>359</v>
      </c>
      <c r="Q166">
        <v>125</v>
      </c>
      <c r="S166">
        <v>1</v>
      </c>
      <c r="T166" t="s">
        <v>352</v>
      </c>
      <c r="U166" t="s">
        <v>355</v>
      </c>
      <c r="V166">
        <v>444</v>
      </c>
      <c r="W166" t="s">
        <v>385</v>
      </c>
    </row>
    <row r="167" spans="1:23" x14ac:dyDescent="0.25">
      <c r="A167" t="s">
        <v>198</v>
      </c>
      <c r="B167" s="14">
        <v>13.522</v>
      </c>
      <c r="C167" s="16" t="s">
        <v>551</v>
      </c>
      <c r="D167" s="16" t="s">
        <v>416</v>
      </c>
      <c r="E167" s="16" t="str">
        <f t="shared" si="5"/>
        <v>X3-08M-WA</v>
      </c>
      <c r="F167" s="16" t="b">
        <f t="shared" si="6"/>
        <v>0</v>
      </c>
      <c r="G167">
        <v>-76.280670999999998</v>
      </c>
      <c r="H167">
        <v>42.779349000000003</v>
      </c>
      <c r="I167">
        <v>3</v>
      </c>
      <c r="J167" t="s">
        <v>372</v>
      </c>
      <c r="K167" t="s">
        <v>360</v>
      </c>
      <c r="Q167">
        <v>112</v>
      </c>
      <c r="S167">
        <v>1</v>
      </c>
      <c r="T167" t="s">
        <v>352</v>
      </c>
      <c r="U167" t="s">
        <v>355</v>
      </c>
      <c r="V167">
        <v>157</v>
      </c>
      <c r="W167" t="s">
        <v>385</v>
      </c>
    </row>
    <row r="168" spans="1:23" x14ac:dyDescent="0.25">
      <c r="A168" t="s">
        <v>199</v>
      </c>
      <c r="B168" s="14">
        <v>24.271000000000001</v>
      </c>
      <c r="C168" s="16" t="s">
        <v>552</v>
      </c>
      <c r="D168" s="16" t="s">
        <v>387</v>
      </c>
      <c r="E168" s="16" t="str">
        <f t="shared" si="5"/>
        <v>X4-02M-EA</v>
      </c>
      <c r="F168" s="16" t="b">
        <f t="shared" si="6"/>
        <v>0</v>
      </c>
      <c r="G168">
        <v>-76.269205999999997</v>
      </c>
      <c r="H168">
        <v>42.779508</v>
      </c>
      <c r="I168">
        <v>5</v>
      </c>
      <c r="J168" t="s">
        <v>372</v>
      </c>
      <c r="K168" t="s">
        <v>359</v>
      </c>
      <c r="Q168">
        <v>207</v>
      </c>
      <c r="S168">
        <v>1</v>
      </c>
      <c r="T168" t="s">
        <v>352</v>
      </c>
      <c r="U168" t="s">
        <v>380</v>
      </c>
      <c r="V168">
        <v>152</v>
      </c>
      <c r="W168" t="s">
        <v>385</v>
      </c>
    </row>
    <row r="169" spans="1:23" x14ac:dyDescent="0.25">
      <c r="A169" t="s">
        <v>336</v>
      </c>
      <c r="B169" s="14">
        <v>29.841000000000001</v>
      </c>
      <c r="C169" s="16" t="s">
        <v>553</v>
      </c>
      <c r="D169" s="16" t="s">
        <v>387</v>
      </c>
      <c r="E169" s="16" t="str">
        <f t="shared" si="5"/>
        <v>X6-01M-EA</v>
      </c>
      <c r="F169" s="16" t="b">
        <f t="shared" si="6"/>
        <v>0</v>
      </c>
      <c r="G169">
        <v>-76.269205999999997</v>
      </c>
      <c r="H169">
        <v>42.779508</v>
      </c>
      <c r="I169">
        <v>5</v>
      </c>
      <c r="J169" t="s">
        <v>372</v>
      </c>
      <c r="K169" t="s">
        <v>360</v>
      </c>
      <c r="Q169">
        <v>0</v>
      </c>
      <c r="S169">
        <v>0</v>
      </c>
      <c r="T169" t="s">
        <v>352</v>
      </c>
      <c r="U169" t="s">
        <v>381</v>
      </c>
      <c r="W169" t="s">
        <v>385</v>
      </c>
    </row>
    <row r="170" spans="1:23" x14ac:dyDescent="0.25">
      <c r="A170" t="s">
        <v>200</v>
      </c>
      <c r="B170" s="14">
        <v>35.521999999999998</v>
      </c>
      <c r="C170" s="16" t="s">
        <v>554</v>
      </c>
      <c r="D170" s="16" t="s">
        <v>396</v>
      </c>
      <c r="E170" s="16" t="str">
        <f t="shared" si="5"/>
        <v>X6-01M-EB</v>
      </c>
      <c r="F170" s="16" t="b">
        <f t="shared" si="6"/>
        <v>0</v>
      </c>
      <c r="G170">
        <v>-76.280518000000001</v>
      </c>
      <c r="H170">
        <v>42.779176999999997</v>
      </c>
      <c r="I170">
        <v>5</v>
      </c>
      <c r="J170" t="s">
        <v>372</v>
      </c>
      <c r="K170" t="s">
        <v>359</v>
      </c>
      <c r="Q170">
        <v>351</v>
      </c>
      <c r="S170">
        <v>2</v>
      </c>
      <c r="T170" t="s">
        <v>352</v>
      </c>
      <c r="U170" t="s">
        <v>355</v>
      </c>
      <c r="V170">
        <v>131</v>
      </c>
      <c r="W170" t="s">
        <v>385</v>
      </c>
    </row>
    <row r="171" spans="1:23" x14ac:dyDescent="0.25">
      <c r="A171" t="s">
        <v>201</v>
      </c>
      <c r="B171" s="14">
        <v>30.977</v>
      </c>
      <c r="C171" s="16" t="s">
        <v>555</v>
      </c>
      <c r="D171" s="16" t="s">
        <v>387</v>
      </c>
      <c r="E171" s="16" t="str">
        <f t="shared" si="5"/>
        <v>X6-01M-EC</v>
      </c>
      <c r="F171" s="16" t="b">
        <f t="shared" si="6"/>
        <v>0</v>
      </c>
      <c r="G171">
        <v>-76.269458999999998</v>
      </c>
      <c r="H171">
        <v>42.779494999999997</v>
      </c>
      <c r="I171">
        <v>8</v>
      </c>
      <c r="J171" t="s">
        <v>372</v>
      </c>
      <c r="K171" t="s">
        <v>359</v>
      </c>
      <c r="Q171">
        <v>97</v>
      </c>
      <c r="S171">
        <v>2</v>
      </c>
      <c r="T171" t="s">
        <v>352</v>
      </c>
      <c r="U171" t="s">
        <v>353</v>
      </c>
      <c r="V171">
        <v>82</v>
      </c>
      <c r="W171" t="s">
        <v>385</v>
      </c>
    </row>
    <row r="172" spans="1:23" x14ac:dyDescent="0.25">
      <c r="A172" t="s">
        <v>202</v>
      </c>
      <c r="B172" s="14">
        <v>15.765000000000001</v>
      </c>
      <c r="C172" s="16" t="s">
        <v>556</v>
      </c>
      <c r="D172" s="16" t="s">
        <v>387</v>
      </c>
      <c r="E172" s="16" t="str">
        <f t="shared" si="5"/>
        <v>X6-01M-ED</v>
      </c>
      <c r="F172" s="16" t="b">
        <f t="shared" si="6"/>
        <v>0</v>
      </c>
      <c r="G172">
        <v>-76.280383</v>
      </c>
      <c r="H172">
        <v>42.779131</v>
      </c>
      <c r="I172">
        <v>8</v>
      </c>
      <c r="J172" t="s">
        <v>372</v>
      </c>
      <c r="K172" t="s">
        <v>359</v>
      </c>
      <c r="Q172">
        <v>314</v>
      </c>
      <c r="S172">
        <v>1</v>
      </c>
      <c r="T172" t="s">
        <v>352</v>
      </c>
      <c r="U172" t="s">
        <v>355</v>
      </c>
      <c r="V172">
        <v>175</v>
      </c>
      <c r="W172" t="s">
        <v>385</v>
      </c>
    </row>
    <row r="173" spans="1:23" x14ac:dyDescent="0.25">
      <c r="A173" t="s">
        <v>203</v>
      </c>
      <c r="B173" s="14">
        <v>22.064</v>
      </c>
      <c r="C173" s="16" t="s">
        <v>557</v>
      </c>
      <c r="D173" s="16" t="s">
        <v>396</v>
      </c>
      <c r="E173" s="16" t="str">
        <f t="shared" si="5"/>
        <v>X6-04M-EA</v>
      </c>
      <c r="F173" s="16" t="b">
        <f t="shared" si="6"/>
        <v>0</v>
      </c>
      <c r="G173">
        <v>-76.269638999999998</v>
      </c>
      <c r="H173">
        <v>42.779521000000003</v>
      </c>
      <c r="I173">
        <v>11</v>
      </c>
      <c r="J173" t="s">
        <v>372</v>
      </c>
      <c r="K173" t="s">
        <v>359</v>
      </c>
      <c r="Q173">
        <v>164</v>
      </c>
      <c r="S173">
        <v>1</v>
      </c>
      <c r="T173" t="s">
        <v>352</v>
      </c>
      <c r="U173" t="s">
        <v>355</v>
      </c>
      <c r="V173">
        <v>149</v>
      </c>
      <c r="W173" t="s">
        <v>385</v>
      </c>
    </row>
    <row r="174" spans="1:23" x14ac:dyDescent="0.25">
      <c r="A174" t="s">
        <v>300</v>
      </c>
      <c r="B174" s="14">
        <v>9.3179999999999996</v>
      </c>
      <c r="C174" s="16" t="s">
        <v>558</v>
      </c>
      <c r="D174" s="16" t="s">
        <v>396</v>
      </c>
      <c r="E174" s="16" t="str">
        <f t="shared" si="5"/>
        <v>X6-04M-EB</v>
      </c>
      <c r="F174" s="16" t="b">
        <f t="shared" si="6"/>
        <v>0</v>
      </c>
      <c r="G174">
        <v>-76.280257000000006</v>
      </c>
      <c r="H174">
        <v>42.779316000000001</v>
      </c>
      <c r="I174">
        <v>11</v>
      </c>
      <c r="J174" t="s">
        <v>372</v>
      </c>
      <c r="K174" t="s">
        <v>359</v>
      </c>
      <c r="Q174">
        <v>404</v>
      </c>
      <c r="S174">
        <v>2</v>
      </c>
      <c r="T174" t="s">
        <v>352</v>
      </c>
      <c r="U174" t="s">
        <v>355</v>
      </c>
      <c r="W174" t="s">
        <v>385</v>
      </c>
    </row>
    <row r="175" spans="1:23" x14ac:dyDescent="0.25">
      <c r="A175" t="s">
        <v>204</v>
      </c>
      <c r="B175" s="14">
        <v>52.911999999999999</v>
      </c>
      <c r="C175" s="16" t="s">
        <v>559</v>
      </c>
      <c r="D175" s="16" t="s">
        <v>453</v>
      </c>
      <c r="E175" s="16" t="str">
        <f t="shared" si="5"/>
        <v>X6-21M-EA</v>
      </c>
      <c r="F175" s="16" t="b">
        <f t="shared" si="6"/>
        <v>0</v>
      </c>
      <c r="G175">
        <v>-76.269675000000007</v>
      </c>
      <c r="H175">
        <v>42.779501000000003</v>
      </c>
      <c r="I175">
        <v>14</v>
      </c>
      <c r="J175" t="s">
        <v>372</v>
      </c>
      <c r="K175" t="s">
        <v>359</v>
      </c>
      <c r="Q175">
        <v>183</v>
      </c>
      <c r="S175">
        <v>1</v>
      </c>
      <c r="T175" t="s">
        <v>352</v>
      </c>
      <c r="U175" t="s">
        <v>355</v>
      </c>
      <c r="V175">
        <v>81</v>
      </c>
      <c r="W175" t="s">
        <v>385</v>
      </c>
    </row>
    <row r="176" spans="1:23" x14ac:dyDescent="0.25">
      <c r="A176" t="s">
        <v>205</v>
      </c>
      <c r="C176" s="16" t="s">
        <v>560</v>
      </c>
      <c r="D176" s="16" t="s">
        <v>453</v>
      </c>
      <c r="E176" s="16" t="str">
        <f t="shared" si="5"/>
        <v>X6-27M-EA</v>
      </c>
      <c r="F176" s="16" t="b">
        <f t="shared" si="6"/>
        <v>0</v>
      </c>
      <c r="G176">
        <v>-76.28013</v>
      </c>
      <c r="H176">
        <v>42.779243000000001</v>
      </c>
      <c r="I176">
        <v>14</v>
      </c>
      <c r="J176" t="s">
        <v>372</v>
      </c>
      <c r="K176" t="s">
        <v>359</v>
      </c>
      <c r="Q176">
        <v>304</v>
      </c>
      <c r="S176">
        <v>2</v>
      </c>
      <c r="T176" t="s">
        <v>352</v>
      </c>
      <c r="U176" t="s">
        <v>355</v>
      </c>
      <c r="V176">
        <v>54</v>
      </c>
      <c r="W176" t="s">
        <v>385</v>
      </c>
    </row>
    <row r="177" spans="1:23" x14ac:dyDescent="0.25">
      <c r="A177" t="s">
        <v>206</v>
      </c>
      <c r="C177" s="16" t="s">
        <v>561</v>
      </c>
      <c r="D177" s="16" t="s">
        <v>453</v>
      </c>
      <c r="E177" s="16" t="str">
        <f t="shared" si="5"/>
        <v>X6-27M-EB</v>
      </c>
      <c r="F177" s="16" t="b">
        <f t="shared" si="6"/>
        <v>0</v>
      </c>
      <c r="G177">
        <v>-76.269773999999998</v>
      </c>
      <c r="H177">
        <v>42.779553999999997</v>
      </c>
      <c r="I177">
        <v>17</v>
      </c>
      <c r="J177" t="s">
        <v>372</v>
      </c>
      <c r="K177" t="s">
        <v>359</v>
      </c>
      <c r="Q177">
        <v>560</v>
      </c>
      <c r="S177">
        <v>0</v>
      </c>
      <c r="T177" t="s">
        <v>352</v>
      </c>
      <c r="U177" t="s">
        <v>355</v>
      </c>
      <c r="V177">
        <v>50</v>
      </c>
      <c r="W177" t="s">
        <v>385</v>
      </c>
    </row>
    <row r="178" spans="1:23" x14ac:dyDescent="0.25">
      <c r="A178" t="s">
        <v>207</v>
      </c>
      <c r="C178" s="16" t="s">
        <v>562</v>
      </c>
      <c r="D178" s="16" t="s">
        <v>396</v>
      </c>
      <c r="E178" s="16" t="str">
        <f t="shared" si="5"/>
        <v>X7-21M-EA</v>
      </c>
      <c r="F178" s="16" t="b">
        <f t="shared" si="6"/>
        <v>0</v>
      </c>
      <c r="G178">
        <v>-76.28004</v>
      </c>
      <c r="H178">
        <v>42.779176999999997</v>
      </c>
      <c r="I178">
        <v>17</v>
      </c>
      <c r="J178" t="s">
        <v>372</v>
      </c>
      <c r="K178" t="s">
        <v>359</v>
      </c>
      <c r="Q178">
        <v>85</v>
      </c>
      <c r="S178">
        <v>1</v>
      </c>
      <c r="T178" t="s">
        <v>352</v>
      </c>
      <c r="U178" t="s">
        <v>355</v>
      </c>
      <c r="V178">
        <v>211</v>
      </c>
      <c r="W178" t="s">
        <v>385</v>
      </c>
    </row>
    <row r="179" spans="1:23" x14ac:dyDescent="0.25">
      <c r="A179" t="s">
        <v>208</v>
      </c>
      <c r="C179" s="16" t="s">
        <v>563</v>
      </c>
      <c r="D179" s="16" t="s">
        <v>396</v>
      </c>
      <c r="E179" s="16" t="str">
        <f t="shared" si="5"/>
        <v>X7-26M-EA</v>
      </c>
      <c r="F179" s="16" t="b">
        <f t="shared" si="6"/>
        <v>0</v>
      </c>
      <c r="G179">
        <v>-76.269953999999998</v>
      </c>
      <c r="H179">
        <v>42.779494999999997</v>
      </c>
      <c r="I179">
        <v>24</v>
      </c>
      <c r="J179" t="s">
        <v>372</v>
      </c>
      <c r="K179" t="s">
        <v>359</v>
      </c>
      <c r="Q179">
        <v>373</v>
      </c>
      <c r="S179">
        <v>2</v>
      </c>
      <c r="T179" t="s">
        <v>352</v>
      </c>
      <c r="U179" t="s">
        <v>355</v>
      </c>
      <c r="V179">
        <v>251</v>
      </c>
      <c r="W179" t="s">
        <v>385</v>
      </c>
    </row>
    <row r="180" spans="1:23" x14ac:dyDescent="0.25">
      <c r="A180" t="s">
        <v>301</v>
      </c>
      <c r="C180" s="16" t="s">
        <v>564</v>
      </c>
      <c r="D180" s="16" t="s">
        <v>453</v>
      </c>
      <c r="E180" s="16" t="str">
        <f t="shared" si="5"/>
        <v>X7-29M-EA</v>
      </c>
      <c r="F180" s="16" t="b">
        <f t="shared" si="6"/>
        <v>0</v>
      </c>
      <c r="G180">
        <v>-76.269953999999998</v>
      </c>
      <c r="H180">
        <v>42.779494999999997</v>
      </c>
      <c r="I180">
        <v>24</v>
      </c>
      <c r="J180" t="s">
        <v>372</v>
      </c>
      <c r="K180" t="s">
        <v>360</v>
      </c>
      <c r="Q180">
        <v>258</v>
      </c>
      <c r="S180">
        <v>2</v>
      </c>
      <c r="T180" t="s">
        <v>352</v>
      </c>
      <c r="U180" t="s">
        <v>355</v>
      </c>
      <c r="W180" t="s">
        <v>385</v>
      </c>
    </row>
    <row r="181" spans="1:23" x14ac:dyDescent="0.25">
      <c r="A181" t="s">
        <v>209</v>
      </c>
      <c r="E181" s="16" t="str">
        <f t="shared" si="5"/>
        <v/>
      </c>
      <c r="F181" s="16" t="b">
        <f t="shared" si="6"/>
        <v>0</v>
      </c>
      <c r="G181">
        <v>-76.279824000000005</v>
      </c>
      <c r="H181">
        <v>42.779263</v>
      </c>
      <c r="I181">
        <v>24</v>
      </c>
      <c r="J181" t="s">
        <v>372</v>
      </c>
      <c r="K181" t="s">
        <v>359</v>
      </c>
      <c r="Q181">
        <v>379</v>
      </c>
      <c r="S181">
        <v>2</v>
      </c>
      <c r="T181" t="s">
        <v>352</v>
      </c>
      <c r="U181" t="s">
        <v>355</v>
      </c>
      <c r="V181">
        <v>54</v>
      </c>
      <c r="W181" t="s">
        <v>385</v>
      </c>
    </row>
    <row r="182" spans="1:23" x14ac:dyDescent="0.25">
      <c r="A182" t="s">
        <v>210</v>
      </c>
      <c r="E182" s="16" t="str">
        <f t="shared" si="5"/>
        <v/>
      </c>
      <c r="F182" s="16" t="b">
        <f t="shared" si="6"/>
        <v>0</v>
      </c>
      <c r="G182">
        <v>-76.270467999999994</v>
      </c>
      <c r="H182">
        <v>42.779434999999999</v>
      </c>
      <c r="I182">
        <v>31</v>
      </c>
      <c r="J182" t="s">
        <v>372</v>
      </c>
      <c r="K182" t="s">
        <v>359</v>
      </c>
      <c r="Q182">
        <v>208</v>
      </c>
      <c r="S182">
        <v>2</v>
      </c>
      <c r="T182" t="s">
        <v>352</v>
      </c>
      <c r="U182" t="s">
        <v>355</v>
      </c>
      <c r="V182">
        <v>81</v>
      </c>
      <c r="W182" t="s">
        <v>385</v>
      </c>
    </row>
    <row r="183" spans="1:23" x14ac:dyDescent="0.25">
      <c r="A183" t="s">
        <v>211</v>
      </c>
      <c r="E183" s="16" t="str">
        <f t="shared" si="5"/>
        <v/>
      </c>
      <c r="F183" s="16" t="b">
        <f t="shared" si="6"/>
        <v>0</v>
      </c>
      <c r="G183">
        <v>-76.279634999999999</v>
      </c>
      <c r="H183">
        <v>42.779223999999999</v>
      </c>
      <c r="I183">
        <v>31</v>
      </c>
      <c r="J183" t="s">
        <v>372</v>
      </c>
      <c r="K183" t="s">
        <v>359</v>
      </c>
      <c r="Q183">
        <v>337</v>
      </c>
      <c r="S183">
        <v>2</v>
      </c>
      <c r="T183" t="s">
        <v>352</v>
      </c>
      <c r="U183" t="s">
        <v>355</v>
      </c>
      <c r="V183">
        <v>304</v>
      </c>
      <c r="W183" t="s">
        <v>385</v>
      </c>
    </row>
    <row r="184" spans="1:23" x14ac:dyDescent="0.25">
      <c r="A184" t="s">
        <v>212</v>
      </c>
      <c r="E184" s="16" t="str">
        <f t="shared" si="5"/>
        <v/>
      </c>
      <c r="F184" s="16" t="b">
        <f t="shared" si="6"/>
        <v>0</v>
      </c>
      <c r="G184">
        <v>-76.271783999999997</v>
      </c>
      <c r="H184">
        <v>42.779494999999997</v>
      </c>
      <c r="I184">
        <v>38</v>
      </c>
      <c r="J184" t="s">
        <v>372</v>
      </c>
      <c r="K184" t="s">
        <v>359</v>
      </c>
      <c r="Q184">
        <v>162</v>
      </c>
      <c r="S184">
        <v>2</v>
      </c>
      <c r="T184" t="s">
        <v>352</v>
      </c>
      <c r="U184" t="s">
        <v>355</v>
      </c>
      <c r="V184">
        <v>79</v>
      </c>
      <c r="W184" t="s">
        <v>385</v>
      </c>
    </row>
    <row r="185" spans="1:23" x14ac:dyDescent="0.25">
      <c r="A185" t="s">
        <v>213</v>
      </c>
      <c r="E185" s="16" t="str">
        <f t="shared" si="5"/>
        <v/>
      </c>
      <c r="F185" s="16" t="b">
        <f t="shared" si="6"/>
        <v>0</v>
      </c>
      <c r="G185">
        <v>-76.279364000000001</v>
      </c>
      <c r="H185">
        <v>42.779197000000003</v>
      </c>
      <c r="I185">
        <v>38</v>
      </c>
      <c r="J185" t="s">
        <v>372</v>
      </c>
      <c r="K185" t="s">
        <v>359</v>
      </c>
      <c r="Q185">
        <v>218</v>
      </c>
      <c r="S185">
        <v>2</v>
      </c>
      <c r="T185" t="s">
        <v>352</v>
      </c>
      <c r="U185" t="s">
        <v>355</v>
      </c>
      <c r="V185">
        <v>82</v>
      </c>
      <c r="W185" t="s">
        <v>385</v>
      </c>
    </row>
    <row r="186" spans="1:23" x14ac:dyDescent="0.25">
      <c r="A186" t="s">
        <v>214</v>
      </c>
      <c r="E186" s="16" t="str">
        <f t="shared" si="5"/>
        <v/>
      </c>
      <c r="F186" s="16" t="b">
        <f t="shared" si="6"/>
        <v>0</v>
      </c>
      <c r="G186">
        <v>-76.273523999999995</v>
      </c>
      <c r="H186">
        <v>42.779429</v>
      </c>
      <c r="I186">
        <v>45</v>
      </c>
      <c r="J186" t="s">
        <v>372</v>
      </c>
      <c r="K186" t="s">
        <v>359</v>
      </c>
      <c r="Q186">
        <v>146</v>
      </c>
      <c r="S186">
        <v>1</v>
      </c>
      <c r="T186" t="s">
        <v>352</v>
      </c>
      <c r="U186" t="s">
        <v>355</v>
      </c>
      <c r="V186">
        <v>48</v>
      </c>
      <c r="W186" t="s">
        <v>385</v>
      </c>
    </row>
    <row r="187" spans="1:23" x14ac:dyDescent="0.25">
      <c r="A187" t="s">
        <v>215</v>
      </c>
      <c r="E187" s="16" t="str">
        <f t="shared" si="5"/>
        <v/>
      </c>
      <c r="F187" s="16" t="b">
        <f t="shared" si="6"/>
        <v>0</v>
      </c>
      <c r="G187">
        <v>-76.278535000000005</v>
      </c>
      <c r="H187">
        <v>42.779237000000002</v>
      </c>
      <c r="I187">
        <v>45</v>
      </c>
      <c r="J187" t="s">
        <v>372</v>
      </c>
      <c r="K187" t="s">
        <v>359</v>
      </c>
      <c r="Q187">
        <v>40</v>
      </c>
      <c r="S187">
        <v>2</v>
      </c>
      <c r="T187" t="s">
        <v>352</v>
      </c>
      <c r="U187" t="s">
        <v>355</v>
      </c>
      <c r="V187">
        <v>19</v>
      </c>
      <c r="W187" t="s">
        <v>385</v>
      </c>
    </row>
    <row r="188" spans="1:23" x14ac:dyDescent="0.25">
      <c r="A188" t="s">
        <v>216</v>
      </c>
      <c r="E188" s="16" t="str">
        <f t="shared" si="5"/>
        <v/>
      </c>
      <c r="F188" s="16" t="b">
        <f t="shared" si="6"/>
        <v>0</v>
      </c>
      <c r="G188">
        <v>-76.275875999999997</v>
      </c>
      <c r="H188">
        <v>42.779462000000002</v>
      </c>
      <c r="I188">
        <v>52</v>
      </c>
      <c r="J188" t="s">
        <v>372</v>
      </c>
      <c r="K188" t="s">
        <v>359</v>
      </c>
      <c r="Q188">
        <v>27</v>
      </c>
      <c r="S188">
        <v>1</v>
      </c>
      <c r="T188" t="s">
        <v>352</v>
      </c>
      <c r="U188" t="s">
        <v>355</v>
      </c>
      <c r="V188">
        <v>20</v>
      </c>
      <c r="W188" t="s">
        <v>385</v>
      </c>
    </row>
    <row r="189" spans="1:23" x14ac:dyDescent="0.25">
      <c r="A189" t="s">
        <v>302</v>
      </c>
      <c r="E189" s="16" t="str">
        <f t="shared" si="5"/>
        <v/>
      </c>
      <c r="F189" s="16" t="b">
        <f t="shared" si="6"/>
        <v>0</v>
      </c>
      <c r="G189">
        <v>-76.275875999999997</v>
      </c>
      <c r="H189">
        <v>42.779462000000002</v>
      </c>
      <c r="I189">
        <v>52</v>
      </c>
      <c r="J189" t="s">
        <v>372</v>
      </c>
      <c r="K189" t="s">
        <v>360</v>
      </c>
      <c r="Q189">
        <v>64</v>
      </c>
      <c r="S189">
        <v>2</v>
      </c>
      <c r="T189" t="s">
        <v>352</v>
      </c>
      <c r="U189" t="s">
        <v>355</v>
      </c>
      <c r="W189" t="s">
        <v>385</v>
      </c>
    </row>
    <row r="190" spans="1:23" x14ac:dyDescent="0.25">
      <c r="A190" t="s">
        <v>217</v>
      </c>
      <c r="E190" s="16" t="str">
        <f t="shared" si="5"/>
        <v/>
      </c>
      <c r="F190" s="16" t="b">
        <f t="shared" si="6"/>
        <v>0</v>
      </c>
      <c r="G190">
        <v>-76.414203999999998</v>
      </c>
      <c r="H190">
        <v>42.902982999999999</v>
      </c>
      <c r="I190">
        <v>21</v>
      </c>
      <c r="J190" t="s">
        <v>373</v>
      </c>
      <c r="K190" t="s">
        <v>359</v>
      </c>
      <c r="Q190">
        <v>144</v>
      </c>
      <c r="S190">
        <v>2</v>
      </c>
      <c r="T190" t="s">
        <v>352</v>
      </c>
      <c r="U190" t="s">
        <v>355</v>
      </c>
      <c r="V190">
        <v>85</v>
      </c>
      <c r="W190" t="s">
        <v>385</v>
      </c>
    </row>
    <row r="191" spans="1:23" x14ac:dyDescent="0.25">
      <c r="A191" t="s">
        <v>303</v>
      </c>
      <c r="E191" s="16" t="str">
        <f t="shared" si="5"/>
        <v/>
      </c>
      <c r="F191" s="16" t="b">
        <f t="shared" si="6"/>
        <v>0</v>
      </c>
      <c r="G191">
        <v>-76.414203999999998</v>
      </c>
      <c r="H191">
        <v>42.902982999999999</v>
      </c>
      <c r="I191">
        <v>21</v>
      </c>
      <c r="J191" t="s">
        <v>373</v>
      </c>
      <c r="K191" t="s">
        <v>360</v>
      </c>
      <c r="Q191">
        <v>313</v>
      </c>
      <c r="S191">
        <v>1</v>
      </c>
      <c r="T191" t="s">
        <v>352</v>
      </c>
      <c r="U191" t="s">
        <v>355</v>
      </c>
      <c r="W191" t="s">
        <v>385</v>
      </c>
    </row>
    <row r="192" spans="1:23" x14ac:dyDescent="0.25">
      <c r="A192" t="s">
        <v>218</v>
      </c>
      <c r="E192" s="16" t="str">
        <f t="shared" si="5"/>
        <v/>
      </c>
      <c r="F192" s="16" t="b">
        <f t="shared" si="6"/>
        <v>0</v>
      </c>
      <c r="G192">
        <v>-76.413736</v>
      </c>
      <c r="H192">
        <v>42.901980000000002</v>
      </c>
      <c r="I192">
        <v>24</v>
      </c>
      <c r="J192" t="s">
        <v>373</v>
      </c>
      <c r="K192" t="s">
        <v>359</v>
      </c>
      <c r="Q192">
        <v>177</v>
      </c>
      <c r="S192">
        <v>2</v>
      </c>
      <c r="T192" t="s">
        <v>352</v>
      </c>
      <c r="U192" t="s">
        <v>355</v>
      </c>
      <c r="V192">
        <v>78</v>
      </c>
      <c r="W192" t="s">
        <v>385</v>
      </c>
    </row>
    <row r="193" spans="1:23" x14ac:dyDescent="0.25">
      <c r="A193" t="s">
        <v>304</v>
      </c>
      <c r="E193" s="16" t="str">
        <f t="shared" si="5"/>
        <v/>
      </c>
      <c r="F193" s="16" t="b">
        <f t="shared" si="6"/>
        <v>0</v>
      </c>
      <c r="G193">
        <v>-76.413736</v>
      </c>
      <c r="H193">
        <v>42.901980000000002</v>
      </c>
      <c r="I193">
        <v>24</v>
      </c>
      <c r="J193" t="s">
        <v>373</v>
      </c>
      <c r="K193" t="s">
        <v>360</v>
      </c>
      <c r="Q193">
        <v>225</v>
      </c>
      <c r="S193">
        <v>2</v>
      </c>
      <c r="T193" t="s">
        <v>352</v>
      </c>
      <c r="U193" t="s">
        <v>355</v>
      </c>
      <c r="W193" t="s">
        <v>385</v>
      </c>
    </row>
    <row r="194" spans="1:23" x14ac:dyDescent="0.25">
      <c r="A194" t="s">
        <v>219</v>
      </c>
      <c r="E194" s="16" t="str">
        <f t="shared" si="5"/>
        <v/>
      </c>
      <c r="F194" s="16" t="b">
        <f t="shared" si="6"/>
        <v>0</v>
      </c>
      <c r="G194">
        <v>-76.413383999999994</v>
      </c>
      <c r="H194">
        <v>42.901868</v>
      </c>
      <c r="I194">
        <v>28</v>
      </c>
      <c r="J194" t="s">
        <v>373</v>
      </c>
      <c r="K194" t="s">
        <v>359</v>
      </c>
      <c r="Q194">
        <v>154</v>
      </c>
      <c r="S194">
        <v>2</v>
      </c>
      <c r="T194" t="s">
        <v>352</v>
      </c>
      <c r="U194" t="s">
        <v>355</v>
      </c>
      <c r="V194">
        <v>55</v>
      </c>
      <c r="W194" t="s">
        <v>385</v>
      </c>
    </row>
    <row r="195" spans="1:23" x14ac:dyDescent="0.25">
      <c r="A195" t="s">
        <v>305</v>
      </c>
      <c r="E195" s="16" t="str">
        <f t="shared" si="5"/>
        <v/>
      </c>
      <c r="F195" s="16" t="b">
        <f t="shared" si="6"/>
        <v>0</v>
      </c>
      <c r="G195">
        <v>-76.413383999999994</v>
      </c>
      <c r="H195">
        <v>42.901868</v>
      </c>
      <c r="I195">
        <v>28</v>
      </c>
      <c r="J195" t="s">
        <v>373</v>
      </c>
      <c r="K195" t="s">
        <v>360</v>
      </c>
      <c r="Q195">
        <v>144</v>
      </c>
      <c r="S195">
        <v>1</v>
      </c>
      <c r="T195" t="s">
        <v>352</v>
      </c>
      <c r="U195" t="s">
        <v>355</v>
      </c>
      <c r="W195" t="s">
        <v>385</v>
      </c>
    </row>
    <row r="196" spans="1:23" x14ac:dyDescent="0.25">
      <c r="A196" t="s">
        <v>220</v>
      </c>
      <c r="E196" s="16" t="str">
        <f t="shared" si="5"/>
        <v/>
      </c>
      <c r="F196" s="16" t="b">
        <f t="shared" si="6"/>
        <v>0</v>
      </c>
      <c r="G196">
        <v>-76.413177000000005</v>
      </c>
      <c r="H196">
        <v>42.902554000000002</v>
      </c>
      <c r="I196">
        <v>29</v>
      </c>
      <c r="J196" t="s">
        <v>373</v>
      </c>
      <c r="K196" t="s">
        <v>359</v>
      </c>
      <c r="Q196">
        <v>311</v>
      </c>
      <c r="S196">
        <v>2</v>
      </c>
      <c r="T196" t="s">
        <v>352</v>
      </c>
      <c r="U196" t="s">
        <v>355</v>
      </c>
      <c r="V196">
        <v>140</v>
      </c>
      <c r="W196" t="s">
        <v>385</v>
      </c>
    </row>
    <row r="197" spans="1:23" x14ac:dyDescent="0.25">
      <c r="A197" t="s">
        <v>221</v>
      </c>
      <c r="E197" s="16" t="str">
        <f t="shared" si="5"/>
        <v/>
      </c>
      <c r="F197" s="16" t="b">
        <f t="shared" si="6"/>
        <v>0</v>
      </c>
      <c r="G197">
        <v>-76.412924000000004</v>
      </c>
      <c r="H197">
        <v>42.902171000000003</v>
      </c>
      <c r="I197">
        <v>32</v>
      </c>
      <c r="J197" t="s">
        <v>373</v>
      </c>
      <c r="K197" t="s">
        <v>359</v>
      </c>
      <c r="Q197">
        <v>139</v>
      </c>
      <c r="S197">
        <v>2</v>
      </c>
      <c r="T197" t="s">
        <v>352</v>
      </c>
      <c r="U197" t="s">
        <v>355</v>
      </c>
      <c r="V197">
        <v>56</v>
      </c>
      <c r="W197" t="s">
        <v>385</v>
      </c>
    </row>
    <row r="198" spans="1:23" x14ac:dyDescent="0.25">
      <c r="A198" t="s">
        <v>222</v>
      </c>
      <c r="E198" s="16" t="str">
        <f t="shared" si="5"/>
        <v/>
      </c>
      <c r="F198" s="16" t="b">
        <f t="shared" si="6"/>
        <v>0</v>
      </c>
      <c r="G198">
        <v>-76.412482999999995</v>
      </c>
      <c r="H198">
        <v>42.90025</v>
      </c>
      <c r="I198">
        <v>35</v>
      </c>
      <c r="J198" t="s">
        <v>373</v>
      </c>
      <c r="K198" t="s">
        <v>359</v>
      </c>
      <c r="Q198">
        <v>149</v>
      </c>
      <c r="S198">
        <v>2</v>
      </c>
      <c r="T198" t="s">
        <v>352</v>
      </c>
      <c r="U198" t="s">
        <v>355</v>
      </c>
      <c r="V198">
        <v>61</v>
      </c>
      <c r="W198" t="s">
        <v>385</v>
      </c>
    </row>
    <row r="199" spans="1:23" x14ac:dyDescent="0.25">
      <c r="A199" t="s">
        <v>306</v>
      </c>
      <c r="E199" s="16" t="str">
        <f t="shared" si="5"/>
        <v/>
      </c>
      <c r="F199" s="16" t="b">
        <f t="shared" si="6"/>
        <v>0</v>
      </c>
      <c r="G199">
        <v>-76.401287999999994</v>
      </c>
      <c r="H199">
        <v>42.867610999999997</v>
      </c>
      <c r="I199">
        <v>3</v>
      </c>
      <c r="J199" t="s">
        <v>374</v>
      </c>
      <c r="K199" t="s">
        <v>359</v>
      </c>
      <c r="Q199">
        <v>398</v>
      </c>
      <c r="S199">
        <v>2</v>
      </c>
      <c r="T199" t="s">
        <v>357</v>
      </c>
      <c r="U199" t="s">
        <v>355</v>
      </c>
      <c r="W199" t="s">
        <v>385</v>
      </c>
    </row>
    <row r="200" spans="1:23" x14ac:dyDescent="0.25">
      <c r="A200" t="s">
        <v>307</v>
      </c>
      <c r="E200" s="16" t="str">
        <f t="shared" ref="E200:E228" si="7">RIGHT(C200,9)</f>
        <v/>
      </c>
      <c r="F200" s="16" t="b">
        <f t="shared" si="6"/>
        <v>0</v>
      </c>
      <c r="G200">
        <v>-76.401324000000002</v>
      </c>
      <c r="H200">
        <v>42.867069000000001</v>
      </c>
      <c r="I200">
        <v>3</v>
      </c>
      <c r="J200" t="s">
        <v>374</v>
      </c>
      <c r="K200" t="s">
        <v>360</v>
      </c>
      <c r="Q200">
        <v>133</v>
      </c>
      <c r="S200">
        <v>1</v>
      </c>
      <c r="T200" t="s">
        <v>357</v>
      </c>
      <c r="U200" t="s">
        <v>381</v>
      </c>
      <c r="W200" t="s">
        <v>385</v>
      </c>
    </row>
    <row r="201" spans="1:23" x14ac:dyDescent="0.25">
      <c r="A201" t="s">
        <v>308</v>
      </c>
      <c r="E201" s="16" t="str">
        <f t="shared" si="7"/>
        <v/>
      </c>
      <c r="F201" s="16" t="b">
        <f t="shared" si="6"/>
        <v>0</v>
      </c>
      <c r="G201">
        <v>-76.400630000000007</v>
      </c>
      <c r="H201">
        <v>42.867089</v>
      </c>
      <c r="I201">
        <v>5</v>
      </c>
      <c r="J201" t="s">
        <v>374</v>
      </c>
      <c r="K201" t="s">
        <v>359</v>
      </c>
      <c r="Q201">
        <v>251</v>
      </c>
      <c r="S201">
        <v>2</v>
      </c>
      <c r="T201" t="s">
        <v>357</v>
      </c>
      <c r="U201" t="s">
        <v>355</v>
      </c>
      <c r="W201" t="s">
        <v>385</v>
      </c>
    </row>
    <row r="202" spans="1:23" x14ac:dyDescent="0.25">
      <c r="A202" t="s">
        <v>309</v>
      </c>
      <c r="E202" s="16" t="str">
        <f t="shared" si="7"/>
        <v/>
      </c>
      <c r="F202" s="16" t="b">
        <f t="shared" si="6"/>
        <v>0</v>
      </c>
      <c r="G202">
        <v>-76.400972999999993</v>
      </c>
      <c r="H202">
        <v>42.867657000000001</v>
      </c>
      <c r="I202">
        <v>5</v>
      </c>
      <c r="J202" t="s">
        <v>374</v>
      </c>
      <c r="K202" t="s">
        <v>360</v>
      </c>
      <c r="Q202">
        <v>126</v>
      </c>
      <c r="S202">
        <v>2</v>
      </c>
      <c r="T202" t="s">
        <v>357</v>
      </c>
      <c r="U202" t="s">
        <v>355</v>
      </c>
      <c r="W202" t="s">
        <v>385</v>
      </c>
    </row>
    <row r="203" spans="1:23" x14ac:dyDescent="0.25">
      <c r="A203" t="s">
        <v>310</v>
      </c>
      <c r="E203" s="16" t="str">
        <f t="shared" si="7"/>
        <v/>
      </c>
      <c r="F203" s="16" t="b">
        <f t="shared" si="6"/>
        <v>0</v>
      </c>
      <c r="G203">
        <v>-76.399404000000004</v>
      </c>
      <c r="H203">
        <v>42.865985999999999</v>
      </c>
      <c r="I203">
        <v>8</v>
      </c>
      <c r="J203" t="s">
        <v>374</v>
      </c>
      <c r="K203" t="s">
        <v>359</v>
      </c>
      <c r="Q203">
        <v>344</v>
      </c>
      <c r="S203">
        <v>2</v>
      </c>
      <c r="T203" t="s">
        <v>352</v>
      </c>
      <c r="U203" t="s">
        <v>355</v>
      </c>
      <c r="W203" t="s">
        <v>385</v>
      </c>
    </row>
    <row r="204" spans="1:23" x14ac:dyDescent="0.25">
      <c r="A204" t="s">
        <v>337</v>
      </c>
      <c r="E204" s="16" t="str">
        <f t="shared" si="7"/>
        <v/>
      </c>
      <c r="F204" s="16" t="b">
        <f t="shared" si="6"/>
        <v>0</v>
      </c>
      <c r="G204">
        <v>-76.398954000000003</v>
      </c>
      <c r="H204">
        <v>42.86551</v>
      </c>
      <c r="I204">
        <v>8</v>
      </c>
      <c r="J204" t="s">
        <v>374</v>
      </c>
      <c r="K204" t="s">
        <v>360</v>
      </c>
      <c r="Q204">
        <v>0</v>
      </c>
      <c r="S204">
        <v>0</v>
      </c>
      <c r="T204" t="s">
        <v>352</v>
      </c>
      <c r="U204" t="s">
        <v>353</v>
      </c>
      <c r="W204" t="s">
        <v>385</v>
      </c>
    </row>
    <row r="205" spans="1:23" x14ac:dyDescent="0.25">
      <c r="A205" t="s">
        <v>223</v>
      </c>
      <c r="E205" s="16" t="str">
        <f t="shared" si="7"/>
        <v/>
      </c>
      <c r="F205" s="16" t="b">
        <f t="shared" si="6"/>
        <v>0</v>
      </c>
      <c r="G205">
        <v>-76.358096539069706</v>
      </c>
      <c r="H205">
        <v>42.861042438565697</v>
      </c>
      <c r="I205">
        <v>1</v>
      </c>
      <c r="J205" t="s">
        <v>375</v>
      </c>
      <c r="K205" t="s">
        <v>359</v>
      </c>
      <c r="Q205">
        <v>21</v>
      </c>
      <c r="S205">
        <v>1</v>
      </c>
      <c r="T205" t="s">
        <v>352</v>
      </c>
      <c r="U205" t="s">
        <v>354</v>
      </c>
      <c r="V205">
        <v>1</v>
      </c>
      <c r="W205" t="s">
        <v>385</v>
      </c>
    </row>
    <row r="206" spans="1:23" x14ac:dyDescent="0.25">
      <c r="A206" t="s">
        <v>339</v>
      </c>
      <c r="E206" s="16" t="str">
        <f t="shared" si="7"/>
        <v/>
      </c>
      <c r="F206" s="16" t="b">
        <f t="shared" si="6"/>
        <v>0</v>
      </c>
      <c r="G206">
        <v>-76.358096539069706</v>
      </c>
      <c r="H206">
        <v>42.861042438565697</v>
      </c>
      <c r="I206">
        <v>1</v>
      </c>
      <c r="J206" t="s">
        <v>375</v>
      </c>
      <c r="K206" t="s">
        <v>360</v>
      </c>
      <c r="Q206">
        <v>24</v>
      </c>
      <c r="S206">
        <v>0</v>
      </c>
      <c r="T206" t="s">
        <v>352</v>
      </c>
      <c r="U206" t="s">
        <v>355</v>
      </c>
      <c r="W206" t="s">
        <v>385</v>
      </c>
    </row>
    <row r="207" spans="1:23" x14ac:dyDescent="0.25">
      <c r="A207" t="s">
        <v>311</v>
      </c>
      <c r="E207" s="16" t="str">
        <f t="shared" si="7"/>
        <v/>
      </c>
      <c r="F207" s="16" t="b">
        <f t="shared" si="6"/>
        <v>0</v>
      </c>
      <c r="G207">
        <v>-76.358186000000003</v>
      </c>
      <c r="H207">
        <v>42.860899000000003</v>
      </c>
      <c r="I207">
        <v>2</v>
      </c>
      <c r="J207" t="s">
        <v>375</v>
      </c>
      <c r="K207" t="s">
        <v>359</v>
      </c>
      <c r="Q207">
        <v>87</v>
      </c>
      <c r="S207">
        <v>0</v>
      </c>
      <c r="T207" t="s">
        <v>357</v>
      </c>
      <c r="U207" t="s">
        <v>355</v>
      </c>
      <c r="W207" t="s">
        <v>385</v>
      </c>
    </row>
    <row r="208" spans="1:23" x14ac:dyDescent="0.25">
      <c r="A208" t="s">
        <v>338</v>
      </c>
      <c r="E208" s="16" t="str">
        <f t="shared" si="7"/>
        <v/>
      </c>
      <c r="F208" s="16" t="b">
        <f t="shared" si="6"/>
        <v>0</v>
      </c>
      <c r="G208">
        <v>-76.358186000000003</v>
      </c>
      <c r="H208">
        <v>42.860899000000003</v>
      </c>
      <c r="I208">
        <v>2</v>
      </c>
      <c r="J208" t="s">
        <v>375</v>
      </c>
      <c r="K208" t="s">
        <v>360</v>
      </c>
      <c r="Q208">
        <v>36</v>
      </c>
      <c r="S208">
        <v>0</v>
      </c>
      <c r="T208" t="s">
        <v>357</v>
      </c>
      <c r="U208" t="s">
        <v>355</v>
      </c>
      <c r="W208" t="s">
        <v>385</v>
      </c>
    </row>
    <row r="209" spans="1:23" x14ac:dyDescent="0.25">
      <c r="A209" t="s">
        <v>228</v>
      </c>
      <c r="E209" s="16" t="str">
        <f t="shared" si="7"/>
        <v/>
      </c>
      <c r="F209" s="16" t="b">
        <f t="shared" si="6"/>
        <v>0</v>
      </c>
      <c r="G209">
        <v>-76.300274999999999</v>
      </c>
      <c r="H209">
        <v>42.816490999999999</v>
      </c>
      <c r="I209">
        <v>1</v>
      </c>
      <c r="J209" t="s">
        <v>376</v>
      </c>
      <c r="K209" t="s">
        <v>359</v>
      </c>
      <c r="Q209">
        <v>86</v>
      </c>
      <c r="S209">
        <v>1</v>
      </c>
      <c r="T209" t="s">
        <v>357</v>
      </c>
      <c r="U209" t="s">
        <v>355</v>
      </c>
      <c r="V209">
        <v>39</v>
      </c>
      <c r="W209" t="s">
        <v>385</v>
      </c>
    </row>
    <row r="210" spans="1:23" x14ac:dyDescent="0.25">
      <c r="A210" t="s">
        <v>312</v>
      </c>
      <c r="E210" s="16" t="str">
        <f t="shared" si="7"/>
        <v/>
      </c>
      <c r="F210" s="16" t="b">
        <f t="shared" si="6"/>
        <v>0</v>
      </c>
      <c r="G210">
        <v>-76.300274999999999</v>
      </c>
      <c r="H210">
        <v>42.816490999999999</v>
      </c>
      <c r="I210">
        <v>1</v>
      </c>
      <c r="J210" t="s">
        <v>376</v>
      </c>
      <c r="K210" t="s">
        <v>360</v>
      </c>
      <c r="Q210">
        <v>216</v>
      </c>
      <c r="S210">
        <v>1</v>
      </c>
      <c r="T210" t="s">
        <v>357</v>
      </c>
      <c r="U210" t="s">
        <v>355</v>
      </c>
      <c r="W210" t="s">
        <v>385</v>
      </c>
    </row>
    <row r="211" spans="1:23" x14ac:dyDescent="0.25">
      <c r="A211" t="s">
        <v>313</v>
      </c>
      <c r="E211" s="16" t="str">
        <f t="shared" si="7"/>
        <v/>
      </c>
      <c r="F211" s="16" t="b">
        <f t="shared" si="6"/>
        <v>0</v>
      </c>
      <c r="G211">
        <v>-76.300274999999999</v>
      </c>
      <c r="H211">
        <v>42.816490999999999</v>
      </c>
      <c r="I211">
        <v>1</v>
      </c>
      <c r="J211" t="s">
        <v>376</v>
      </c>
      <c r="K211" t="s">
        <v>366</v>
      </c>
      <c r="Q211">
        <v>111</v>
      </c>
      <c r="S211">
        <v>1</v>
      </c>
      <c r="T211" t="s">
        <v>357</v>
      </c>
      <c r="U211" t="s">
        <v>355</v>
      </c>
      <c r="W211" t="s">
        <v>385</v>
      </c>
    </row>
    <row r="212" spans="1:23" x14ac:dyDescent="0.25">
      <c r="A212" t="s">
        <v>314</v>
      </c>
      <c r="E212" s="16" t="str">
        <f t="shared" si="7"/>
        <v/>
      </c>
      <c r="F212" s="16" t="b">
        <f t="shared" si="6"/>
        <v>0</v>
      </c>
      <c r="G212">
        <v>-76.300274999999999</v>
      </c>
      <c r="H212">
        <v>42.816490999999999</v>
      </c>
      <c r="I212">
        <v>1</v>
      </c>
      <c r="J212" t="s">
        <v>376</v>
      </c>
      <c r="K212" t="s">
        <v>370</v>
      </c>
      <c r="Q212">
        <v>129</v>
      </c>
      <c r="S212">
        <v>1</v>
      </c>
      <c r="T212" t="s">
        <v>357</v>
      </c>
      <c r="U212" t="s">
        <v>355</v>
      </c>
      <c r="W212" t="s">
        <v>385</v>
      </c>
    </row>
    <row r="213" spans="1:23" x14ac:dyDescent="0.25">
      <c r="A213" t="s">
        <v>229</v>
      </c>
      <c r="E213" s="16" t="str">
        <f t="shared" si="7"/>
        <v/>
      </c>
      <c r="F213" s="16" t="b">
        <f t="shared" si="6"/>
        <v>0</v>
      </c>
      <c r="G213">
        <v>-76.300362471763805</v>
      </c>
      <c r="H213">
        <v>42.816422608888097</v>
      </c>
      <c r="I213">
        <v>4</v>
      </c>
      <c r="J213" t="s">
        <v>376</v>
      </c>
      <c r="K213" t="s">
        <v>359</v>
      </c>
      <c r="Q213">
        <v>170</v>
      </c>
      <c r="S213">
        <v>1</v>
      </c>
      <c r="T213" t="s">
        <v>357</v>
      </c>
      <c r="U213" t="s">
        <v>355</v>
      </c>
      <c r="V213">
        <v>78</v>
      </c>
      <c r="W213" t="s">
        <v>385</v>
      </c>
    </row>
    <row r="214" spans="1:23" x14ac:dyDescent="0.25">
      <c r="A214" t="s">
        <v>315</v>
      </c>
      <c r="E214" s="16" t="str">
        <f t="shared" si="7"/>
        <v/>
      </c>
      <c r="F214" s="16" t="b">
        <f t="shared" ref="F214:F228" si="8">E214=A209</f>
        <v>0</v>
      </c>
      <c r="G214">
        <v>-76.300362471763805</v>
      </c>
      <c r="H214">
        <v>42.816422608888097</v>
      </c>
      <c r="I214">
        <v>4</v>
      </c>
      <c r="J214" t="s">
        <v>376</v>
      </c>
      <c r="K214" t="s">
        <v>360</v>
      </c>
      <c r="Q214">
        <v>198</v>
      </c>
      <c r="S214">
        <v>1</v>
      </c>
      <c r="T214" t="s">
        <v>357</v>
      </c>
      <c r="U214" t="s">
        <v>355</v>
      </c>
      <c r="W214" t="s">
        <v>385</v>
      </c>
    </row>
    <row r="215" spans="1:23" x14ac:dyDescent="0.25">
      <c r="A215" t="s">
        <v>230</v>
      </c>
      <c r="E215" s="16" t="str">
        <f t="shared" si="7"/>
        <v/>
      </c>
      <c r="F215" s="16" t="b">
        <f t="shared" si="8"/>
        <v>0</v>
      </c>
      <c r="G215">
        <v>-76.299689000000001</v>
      </c>
      <c r="H215">
        <v>42.815697999999998</v>
      </c>
      <c r="I215">
        <v>8</v>
      </c>
      <c r="J215" t="s">
        <v>376</v>
      </c>
      <c r="K215" t="s">
        <v>359</v>
      </c>
      <c r="Q215">
        <v>0</v>
      </c>
      <c r="S215">
        <v>0</v>
      </c>
      <c r="T215" t="s">
        <v>357</v>
      </c>
      <c r="U215" t="s">
        <v>355</v>
      </c>
      <c r="V215">
        <v>48</v>
      </c>
      <c r="W215" t="s">
        <v>385</v>
      </c>
    </row>
    <row r="216" spans="1:23" x14ac:dyDescent="0.25">
      <c r="A216" t="s">
        <v>231</v>
      </c>
      <c r="E216" s="16" t="str">
        <f t="shared" si="7"/>
        <v/>
      </c>
      <c r="F216" s="16" t="b">
        <f t="shared" si="8"/>
        <v>0</v>
      </c>
      <c r="G216">
        <v>-76.300149000000005</v>
      </c>
      <c r="H216">
        <v>42.815572000000003</v>
      </c>
      <c r="I216">
        <v>21</v>
      </c>
      <c r="J216" t="s">
        <v>376</v>
      </c>
      <c r="K216" t="s">
        <v>359</v>
      </c>
      <c r="Q216">
        <v>138</v>
      </c>
      <c r="S216">
        <v>1</v>
      </c>
      <c r="T216" t="s">
        <v>352</v>
      </c>
      <c r="U216" t="s">
        <v>355</v>
      </c>
      <c r="V216">
        <v>289</v>
      </c>
      <c r="W216" t="s">
        <v>385</v>
      </c>
    </row>
    <row r="217" spans="1:23" x14ac:dyDescent="0.25">
      <c r="A217" t="s">
        <v>232</v>
      </c>
      <c r="E217" s="16" t="str">
        <f t="shared" si="7"/>
        <v/>
      </c>
      <c r="F217" s="16" t="b">
        <f t="shared" si="8"/>
        <v>0</v>
      </c>
      <c r="G217">
        <v>-76.300284000000005</v>
      </c>
      <c r="H217">
        <v>42.815427</v>
      </c>
      <c r="I217">
        <v>27</v>
      </c>
      <c r="J217" t="s">
        <v>376</v>
      </c>
      <c r="K217" t="s">
        <v>359</v>
      </c>
      <c r="Q217">
        <v>161</v>
      </c>
      <c r="S217">
        <v>1</v>
      </c>
      <c r="T217" t="s">
        <v>352</v>
      </c>
      <c r="U217" t="s">
        <v>355</v>
      </c>
      <c r="V217">
        <v>217</v>
      </c>
      <c r="W217" t="s">
        <v>385</v>
      </c>
    </row>
    <row r="218" spans="1:23" x14ac:dyDescent="0.25">
      <c r="A218" t="s">
        <v>316</v>
      </c>
      <c r="E218" s="16" t="str">
        <f t="shared" si="7"/>
        <v/>
      </c>
      <c r="F218" s="16" t="b">
        <f t="shared" si="8"/>
        <v>0</v>
      </c>
      <c r="G218">
        <v>-76.300284000000005</v>
      </c>
      <c r="H218">
        <v>42.815427</v>
      </c>
      <c r="I218">
        <v>27</v>
      </c>
      <c r="J218" t="s">
        <v>376</v>
      </c>
      <c r="K218" t="s">
        <v>360</v>
      </c>
      <c r="Q218">
        <v>59</v>
      </c>
      <c r="S218">
        <v>1</v>
      </c>
      <c r="T218" t="s">
        <v>352</v>
      </c>
      <c r="U218" t="s">
        <v>355</v>
      </c>
      <c r="W218" t="s">
        <v>385</v>
      </c>
    </row>
    <row r="219" spans="1:23" x14ac:dyDescent="0.25">
      <c r="A219" t="s">
        <v>247</v>
      </c>
      <c r="E219" s="16" t="str">
        <f t="shared" si="7"/>
        <v/>
      </c>
      <c r="F219" s="16" t="b">
        <f t="shared" si="8"/>
        <v>0</v>
      </c>
      <c r="G219">
        <v>-76.275154999999998</v>
      </c>
      <c r="H219">
        <v>42.789780999999998</v>
      </c>
      <c r="I219">
        <v>1</v>
      </c>
      <c r="J219" t="s">
        <v>377</v>
      </c>
      <c r="K219" t="s">
        <v>359</v>
      </c>
      <c r="Q219">
        <v>75</v>
      </c>
      <c r="S219">
        <v>0</v>
      </c>
      <c r="T219" t="s">
        <v>357</v>
      </c>
      <c r="U219" t="s">
        <v>355</v>
      </c>
      <c r="V219">
        <v>0</v>
      </c>
      <c r="W219" t="s">
        <v>385</v>
      </c>
    </row>
    <row r="220" spans="1:23" x14ac:dyDescent="0.25">
      <c r="A220" t="s">
        <v>340</v>
      </c>
      <c r="E220" s="16" t="str">
        <f t="shared" si="7"/>
        <v/>
      </c>
      <c r="F220" s="16" t="b">
        <f t="shared" si="8"/>
        <v>0</v>
      </c>
      <c r="G220">
        <v>-76.275154999999998</v>
      </c>
      <c r="H220">
        <v>42.789780999999998</v>
      </c>
      <c r="I220">
        <v>1</v>
      </c>
      <c r="J220" t="s">
        <v>377</v>
      </c>
      <c r="K220" t="s">
        <v>360</v>
      </c>
      <c r="Q220">
        <v>13</v>
      </c>
      <c r="S220">
        <v>0</v>
      </c>
      <c r="T220" t="s">
        <v>357</v>
      </c>
      <c r="U220" t="s">
        <v>355</v>
      </c>
      <c r="W220" t="s">
        <v>385</v>
      </c>
    </row>
    <row r="221" spans="1:23" x14ac:dyDescent="0.25">
      <c r="A221" t="s">
        <v>234</v>
      </c>
      <c r="E221" s="16" t="str">
        <f t="shared" si="7"/>
        <v/>
      </c>
      <c r="F221" s="16" t="b">
        <f t="shared" si="8"/>
        <v>0</v>
      </c>
      <c r="G221">
        <v>-76.275965999999997</v>
      </c>
      <c r="H221">
        <v>42.789648999999997</v>
      </c>
      <c r="I221">
        <v>21</v>
      </c>
      <c r="J221" t="s">
        <v>377</v>
      </c>
      <c r="K221" t="s">
        <v>359</v>
      </c>
      <c r="Q221">
        <v>122</v>
      </c>
      <c r="S221">
        <v>1</v>
      </c>
      <c r="T221" t="s">
        <v>352</v>
      </c>
      <c r="U221" t="s">
        <v>355</v>
      </c>
      <c r="V221">
        <v>183</v>
      </c>
      <c r="W221" t="s">
        <v>385</v>
      </c>
    </row>
    <row r="222" spans="1:23" x14ac:dyDescent="0.25">
      <c r="A222" t="s">
        <v>235</v>
      </c>
      <c r="E222" s="16" t="str">
        <f t="shared" si="7"/>
        <v/>
      </c>
      <c r="F222" s="16" t="b">
        <f t="shared" si="8"/>
        <v>0</v>
      </c>
      <c r="G222">
        <v>-76.276047000000005</v>
      </c>
      <c r="H222">
        <v>42.789588999999999</v>
      </c>
      <c r="I222">
        <v>26</v>
      </c>
      <c r="J222" t="s">
        <v>377</v>
      </c>
      <c r="K222" t="s">
        <v>359</v>
      </c>
      <c r="Q222">
        <v>48</v>
      </c>
      <c r="S222">
        <v>2</v>
      </c>
      <c r="T222" t="s">
        <v>352</v>
      </c>
      <c r="U222" t="s">
        <v>355</v>
      </c>
      <c r="V222">
        <v>45</v>
      </c>
      <c r="W222" t="s">
        <v>385</v>
      </c>
    </row>
    <row r="223" spans="1:23" x14ac:dyDescent="0.25">
      <c r="A223" t="s">
        <v>236</v>
      </c>
      <c r="E223" s="16" t="str">
        <f t="shared" si="7"/>
        <v/>
      </c>
      <c r="F223" s="16" t="b">
        <f t="shared" si="8"/>
        <v>0</v>
      </c>
      <c r="G223">
        <v>-76.276191999999995</v>
      </c>
      <c r="H223">
        <v>42.789648999999997</v>
      </c>
      <c r="I223">
        <v>29</v>
      </c>
      <c r="J223" t="s">
        <v>377</v>
      </c>
      <c r="K223" t="s">
        <v>359</v>
      </c>
      <c r="Q223">
        <v>192</v>
      </c>
      <c r="S223">
        <v>1</v>
      </c>
      <c r="T223" t="s">
        <v>352</v>
      </c>
      <c r="U223" t="s">
        <v>355</v>
      </c>
      <c r="V223">
        <v>187</v>
      </c>
      <c r="W223" t="s">
        <v>385</v>
      </c>
    </row>
    <row r="224" spans="1:23" x14ac:dyDescent="0.25">
      <c r="E224" s="16" t="str">
        <f t="shared" si="7"/>
        <v/>
      </c>
      <c r="F224" s="16" t="b">
        <f t="shared" si="8"/>
        <v>0</v>
      </c>
    </row>
    <row r="225" spans="5:6" x14ac:dyDescent="0.25">
      <c r="E225" s="16" t="str">
        <f t="shared" si="7"/>
        <v/>
      </c>
      <c r="F225" s="16" t="b">
        <f t="shared" si="8"/>
        <v>0</v>
      </c>
    </row>
    <row r="226" spans="5:6" x14ac:dyDescent="0.25">
      <c r="E226" s="16" t="str">
        <f t="shared" si="7"/>
        <v/>
      </c>
      <c r="F226" s="16" t="b">
        <f t="shared" si="8"/>
        <v>0</v>
      </c>
    </row>
    <row r="227" spans="5:6" x14ac:dyDescent="0.25">
      <c r="E227" s="16" t="str">
        <f t="shared" si="7"/>
        <v/>
      </c>
      <c r="F227" s="16" t="b">
        <f t="shared" si="8"/>
        <v>0</v>
      </c>
    </row>
    <row r="228" spans="5:6" x14ac:dyDescent="0.25">
      <c r="E228" s="16" t="str">
        <f t="shared" si="7"/>
        <v/>
      </c>
      <c r="F228" s="16" t="b">
        <f t="shared" si="8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zoomScale="140" zoomScaleNormal="140" workbookViewId="0">
      <pane ySplit="1" topLeftCell="A50" activePane="bottomLeft" state="frozen"/>
      <selection pane="bottomLeft" activeCell="C3" sqref="C3"/>
    </sheetView>
  </sheetViews>
  <sheetFormatPr defaultRowHeight="15" x14ac:dyDescent="0.25"/>
  <cols>
    <col min="1" max="1" width="11.7109375" bestFit="1" customWidth="1"/>
    <col min="2" max="2" width="32.42578125" style="14" bestFit="1" customWidth="1"/>
    <col min="3" max="3" width="17" style="18" bestFit="1" customWidth="1"/>
    <col min="4" max="4" width="17" style="18" customWidth="1"/>
    <col min="5" max="5" width="19" bestFit="1" customWidth="1"/>
    <col min="6" max="6" width="11.28515625" bestFit="1" customWidth="1"/>
    <col min="7" max="7" width="7.85546875" customWidth="1"/>
    <col min="8" max="8" width="9.5703125" customWidth="1"/>
    <col min="9" max="9" width="11.7109375" bestFit="1" customWidth="1"/>
    <col min="10" max="10" width="12" bestFit="1" customWidth="1"/>
    <col min="11" max="11" width="9" bestFit="1" customWidth="1"/>
    <col min="12" max="12" width="8.42578125" bestFit="1" customWidth="1"/>
    <col min="13" max="13" width="9.42578125" bestFit="1" customWidth="1"/>
    <col min="14" max="14" width="13.7109375" customWidth="1"/>
    <col min="15" max="15" width="20.7109375" bestFit="1" customWidth="1"/>
    <col min="16" max="16" width="20.42578125" style="14" bestFit="1" customWidth="1"/>
    <col min="17" max="17" width="19.85546875" bestFit="1" customWidth="1"/>
    <col min="18" max="18" width="20.5703125" bestFit="1" customWidth="1"/>
    <col min="19" max="19" width="23.85546875" bestFit="1" customWidth="1"/>
  </cols>
  <sheetData>
    <row r="1" spans="1:19" x14ac:dyDescent="0.25">
      <c r="A1" t="s">
        <v>0</v>
      </c>
      <c r="B1" s="14" t="s">
        <v>1092</v>
      </c>
      <c r="C1" s="18" t="s">
        <v>833</v>
      </c>
      <c r="D1" s="18" t="s">
        <v>836</v>
      </c>
      <c r="E1" s="14"/>
      <c r="F1" s="14"/>
      <c r="G1" s="14"/>
      <c r="H1" s="14"/>
      <c r="I1" t="s">
        <v>383</v>
      </c>
      <c r="J1" t="s">
        <v>382</v>
      </c>
      <c r="K1" t="s">
        <v>341</v>
      </c>
      <c r="L1" t="s">
        <v>343</v>
      </c>
      <c r="M1" t="s">
        <v>342</v>
      </c>
      <c r="N1" t="s">
        <v>345</v>
      </c>
      <c r="O1" t="s">
        <v>810</v>
      </c>
      <c r="P1" s="14" t="s">
        <v>811</v>
      </c>
      <c r="Q1" t="s">
        <v>346</v>
      </c>
      <c r="R1" t="s">
        <v>348</v>
      </c>
      <c r="S1" t="s">
        <v>349</v>
      </c>
    </row>
    <row r="2" spans="1:19" ht="12.75" customHeight="1" x14ac:dyDescent="0.25">
      <c r="A2" t="s">
        <v>4</v>
      </c>
      <c r="B2" s="14" t="s">
        <v>837</v>
      </c>
      <c r="C2" s="18" t="s">
        <v>834</v>
      </c>
      <c r="D2" s="18" t="s">
        <v>834</v>
      </c>
      <c r="E2" s="16" t="s">
        <v>754</v>
      </c>
      <c r="F2" s="16" t="str">
        <f>UPPER(RIGHT(E2,9))</f>
        <v>01-03M-WA</v>
      </c>
      <c r="G2" s="16" t="b">
        <f t="shared" ref="G2:G33" si="0">IF(E2="","",F2=A2)</f>
        <v>1</v>
      </c>
      <c r="H2" s="16">
        <v>12</v>
      </c>
      <c r="I2">
        <v>-76.426282</v>
      </c>
      <c r="J2">
        <v>42.934336999999999</v>
      </c>
      <c r="K2">
        <v>3</v>
      </c>
      <c r="L2" t="s">
        <v>358</v>
      </c>
      <c r="M2" t="s">
        <v>359</v>
      </c>
      <c r="N2">
        <v>196</v>
      </c>
      <c r="O2">
        <v>17</v>
      </c>
      <c r="P2" s="14">
        <v>12</v>
      </c>
      <c r="Q2">
        <v>0</v>
      </c>
      <c r="R2" t="s">
        <v>352</v>
      </c>
      <c r="S2" t="s">
        <v>353</v>
      </c>
    </row>
    <row r="3" spans="1:19" x14ac:dyDescent="0.25">
      <c r="A3" t="s">
        <v>5</v>
      </c>
      <c r="B3" s="14" t="s">
        <v>838</v>
      </c>
      <c r="C3" s="18" t="s">
        <v>834</v>
      </c>
      <c r="D3" s="18" t="s">
        <v>834</v>
      </c>
      <c r="E3" s="16" t="s">
        <v>755</v>
      </c>
      <c r="F3" s="16" t="str">
        <f>UPPER(RIGHT(E3,9))</f>
        <v>01-03M-WB</v>
      </c>
      <c r="G3" s="16" t="b">
        <f t="shared" si="0"/>
        <v>1</v>
      </c>
      <c r="H3" s="16">
        <v>16</v>
      </c>
      <c r="I3">
        <v>-76.425749999999994</v>
      </c>
      <c r="J3">
        <v>42.934244</v>
      </c>
      <c r="K3">
        <v>3</v>
      </c>
      <c r="L3" t="s">
        <v>358</v>
      </c>
      <c r="M3" t="s">
        <v>360</v>
      </c>
      <c r="N3">
        <v>206</v>
      </c>
      <c r="O3">
        <v>16</v>
      </c>
      <c r="P3" s="14">
        <v>16</v>
      </c>
      <c r="Q3">
        <v>0</v>
      </c>
      <c r="R3" t="s">
        <v>352</v>
      </c>
      <c r="S3" t="s">
        <v>354</v>
      </c>
    </row>
    <row r="4" spans="1:19" x14ac:dyDescent="0.25">
      <c r="A4" t="s">
        <v>6</v>
      </c>
      <c r="B4" s="14" t="s">
        <v>839</v>
      </c>
      <c r="C4" s="18" t="s">
        <v>834</v>
      </c>
      <c r="D4" s="18" t="s">
        <v>834</v>
      </c>
      <c r="E4" s="16" t="s">
        <v>756</v>
      </c>
      <c r="F4" s="16" t="str">
        <f>UPPER(RIGHT(E4,9))</f>
        <v>01-05M-EA</v>
      </c>
      <c r="G4" s="16" t="b">
        <f t="shared" si="0"/>
        <v>1</v>
      </c>
      <c r="H4" s="16">
        <v>214</v>
      </c>
      <c r="I4">
        <v>-76.415673999999996</v>
      </c>
      <c r="J4">
        <v>42.934573999999998</v>
      </c>
      <c r="K4">
        <v>5</v>
      </c>
      <c r="L4" t="s">
        <v>358</v>
      </c>
      <c r="M4" t="s">
        <v>359</v>
      </c>
      <c r="N4">
        <v>63</v>
      </c>
      <c r="O4">
        <v>234</v>
      </c>
      <c r="P4" s="14">
        <v>214</v>
      </c>
      <c r="Q4">
        <v>1</v>
      </c>
      <c r="R4" t="s">
        <v>352</v>
      </c>
      <c r="S4" t="s">
        <v>355</v>
      </c>
    </row>
    <row r="5" spans="1:19" x14ac:dyDescent="0.25">
      <c r="A5" t="s">
        <v>7</v>
      </c>
      <c r="B5" s="14" t="s">
        <v>840</v>
      </c>
      <c r="C5" s="18" t="s">
        <v>834</v>
      </c>
      <c r="D5" s="18" t="s">
        <v>834</v>
      </c>
      <c r="E5" s="16" t="s">
        <v>757</v>
      </c>
      <c r="F5" s="16" t="str">
        <f>UPPER(RIGHT(E5,9))</f>
        <v>01-05M-WA</v>
      </c>
      <c r="G5" s="16" t="b">
        <f t="shared" si="0"/>
        <v>1</v>
      </c>
      <c r="H5" s="16">
        <v>152</v>
      </c>
      <c r="I5">
        <v>-76.422425000000004</v>
      </c>
      <c r="J5">
        <v>42.934502000000002</v>
      </c>
      <c r="K5">
        <v>5</v>
      </c>
      <c r="L5" t="s">
        <v>358</v>
      </c>
      <c r="M5" t="s">
        <v>359</v>
      </c>
      <c r="N5">
        <v>350</v>
      </c>
      <c r="O5">
        <v>124</v>
      </c>
      <c r="P5" s="14">
        <v>152</v>
      </c>
      <c r="Q5">
        <v>1</v>
      </c>
      <c r="R5" t="s">
        <v>352</v>
      </c>
      <c r="S5" t="s">
        <v>355</v>
      </c>
    </row>
    <row r="6" spans="1:19" x14ac:dyDescent="0.25">
      <c r="A6" t="s">
        <v>8</v>
      </c>
      <c r="B6" s="14" t="s">
        <v>841</v>
      </c>
      <c r="C6" s="18" t="s">
        <v>834</v>
      </c>
      <c r="D6" s="18" t="s">
        <v>834</v>
      </c>
      <c r="E6" s="16" t="s">
        <v>835</v>
      </c>
      <c r="F6" s="16"/>
      <c r="G6" s="16" t="b">
        <f t="shared" si="0"/>
        <v>0</v>
      </c>
      <c r="H6" s="16"/>
      <c r="I6">
        <v>-76.422658999999996</v>
      </c>
      <c r="J6">
        <v>42.934376</v>
      </c>
      <c r="K6">
        <v>5</v>
      </c>
      <c r="L6" t="s">
        <v>358</v>
      </c>
      <c r="M6" t="s">
        <v>360</v>
      </c>
      <c r="N6">
        <v>219</v>
      </c>
      <c r="O6">
        <v>0</v>
      </c>
      <c r="Q6">
        <v>0</v>
      </c>
      <c r="R6" t="s">
        <v>352</v>
      </c>
      <c r="S6" t="s">
        <v>356</v>
      </c>
    </row>
    <row r="7" spans="1:19" x14ac:dyDescent="0.25">
      <c r="A7" t="s">
        <v>9</v>
      </c>
      <c r="B7" s="14" t="s">
        <v>842</v>
      </c>
      <c r="C7" s="18" t="s">
        <v>834</v>
      </c>
      <c r="D7" s="18" t="s">
        <v>834</v>
      </c>
      <c r="E7" s="16" t="s">
        <v>758</v>
      </c>
      <c r="F7" s="16" t="str">
        <f>UPPER(RIGHT(E7,9))</f>
        <v>01-06M-EA</v>
      </c>
      <c r="G7" s="16" t="b">
        <f t="shared" si="0"/>
        <v>1</v>
      </c>
      <c r="H7" s="16">
        <v>156</v>
      </c>
      <c r="I7">
        <v>-76.416133000000002</v>
      </c>
      <c r="J7">
        <v>42.934376</v>
      </c>
      <c r="K7">
        <v>6</v>
      </c>
      <c r="L7" t="s">
        <v>358</v>
      </c>
      <c r="M7" t="s">
        <v>359</v>
      </c>
      <c r="N7">
        <v>160</v>
      </c>
      <c r="O7">
        <v>186</v>
      </c>
      <c r="P7" s="14">
        <v>156</v>
      </c>
      <c r="Q7">
        <v>2</v>
      </c>
      <c r="R7" t="s">
        <v>352</v>
      </c>
      <c r="S7" t="s">
        <v>355</v>
      </c>
    </row>
    <row r="8" spans="1:19" x14ac:dyDescent="0.25">
      <c r="A8" t="s">
        <v>11</v>
      </c>
      <c r="B8" s="14" t="s">
        <v>843</v>
      </c>
      <c r="C8" s="18" t="s">
        <v>834</v>
      </c>
      <c r="D8" s="18" t="s">
        <v>834</v>
      </c>
      <c r="E8" s="16" t="s">
        <v>759</v>
      </c>
      <c r="F8" s="16" t="str">
        <f>UPPER(RIGHT(E8,9))</f>
        <v>03-01M-WA</v>
      </c>
      <c r="G8" s="16" t="b">
        <f t="shared" si="0"/>
        <v>1</v>
      </c>
      <c r="H8" s="16">
        <v>46</v>
      </c>
      <c r="I8">
        <v>-76.346215999999998</v>
      </c>
      <c r="J8">
        <v>42.833553000000002</v>
      </c>
      <c r="K8">
        <v>1</v>
      </c>
      <c r="L8" t="s">
        <v>361</v>
      </c>
      <c r="M8" t="s">
        <v>359</v>
      </c>
      <c r="N8">
        <v>43</v>
      </c>
      <c r="O8">
        <v>31</v>
      </c>
      <c r="P8" s="14">
        <v>46</v>
      </c>
      <c r="Q8">
        <v>0</v>
      </c>
      <c r="R8" t="s">
        <v>357</v>
      </c>
      <c r="S8" t="s">
        <v>355</v>
      </c>
    </row>
    <row r="9" spans="1:19" x14ac:dyDescent="0.25">
      <c r="A9" t="s">
        <v>10</v>
      </c>
      <c r="B9" s="14" t="s">
        <v>846</v>
      </c>
      <c r="C9" s="18" t="s">
        <v>834</v>
      </c>
      <c r="D9" s="18" t="s">
        <v>834</v>
      </c>
      <c r="E9" s="16" t="s">
        <v>762</v>
      </c>
      <c r="F9" s="16" t="str">
        <f>UPPER(RIGHT(E9,9))</f>
        <v>03-02M-EA</v>
      </c>
      <c r="G9" s="16" t="b">
        <f t="shared" si="0"/>
        <v>1</v>
      </c>
      <c r="H9" s="16">
        <v>361</v>
      </c>
      <c r="I9">
        <v>-76.390435999999994</v>
      </c>
      <c r="J9">
        <v>42.895178999999999</v>
      </c>
      <c r="K9">
        <v>2</v>
      </c>
      <c r="L9" t="s">
        <v>361</v>
      </c>
      <c r="M9" t="s">
        <v>359</v>
      </c>
      <c r="N9">
        <v>408</v>
      </c>
      <c r="O9">
        <v>333</v>
      </c>
      <c r="P9" s="14">
        <v>361</v>
      </c>
      <c r="Q9">
        <v>1</v>
      </c>
      <c r="R9" t="s">
        <v>357</v>
      </c>
      <c r="S9" t="s">
        <v>354</v>
      </c>
    </row>
    <row r="10" spans="1:19" x14ac:dyDescent="0.25">
      <c r="A10" t="s">
        <v>12</v>
      </c>
      <c r="B10" s="14" t="s">
        <v>844</v>
      </c>
      <c r="C10" s="18" t="s">
        <v>834</v>
      </c>
      <c r="D10" s="18" t="s">
        <v>834</v>
      </c>
      <c r="E10" s="16" t="s">
        <v>760</v>
      </c>
      <c r="F10" s="16" t="str">
        <f>UPPER(RIGHT(E10,9))</f>
        <v>03-02M-WA</v>
      </c>
      <c r="G10" s="16" t="b">
        <f t="shared" si="0"/>
        <v>1</v>
      </c>
      <c r="H10" s="16">
        <v>107</v>
      </c>
      <c r="I10">
        <v>-76.346198000000001</v>
      </c>
      <c r="J10">
        <v>42.833731999999998</v>
      </c>
      <c r="K10">
        <v>2</v>
      </c>
      <c r="L10" t="s">
        <v>361</v>
      </c>
      <c r="M10" t="s">
        <v>359</v>
      </c>
      <c r="N10">
        <v>85</v>
      </c>
      <c r="O10">
        <v>77</v>
      </c>
      <c r="P10" s="14">
        <v>107</v>
      </c>
      <c r="Q10">
        <v>2</v>
      </c>
      <c r="R10" t="s">
        <v>357</v>
      </c>
      <c r="S10" t="s">
        <v>355</v>
      </c>
    </row>
    <row r="11" spans="1:19" x14ac:dyDescent="0.25">
      <c r="A11" t="s">
        <v>13</v>
      </c>
      <c r="B11" s="14" t="s">
        <v>845</v>
      </c>
      <c r="C11" s="18" t="s">
        <v>834</v>
      </c>
      <c r="D11" s="18" t="s">
        <v>834</v>
      </c>
      <c r="E11" s="16" t="s">
        <v>761</v>
      </c>
      <c r="F11" s="16" t="str">
        <f>UPPER(RIGHT(E11,9))</f>
        <v>03-02M-WB</v>
      </c>
      <c r="G11" s="16" t="b">
        <f t="shared" si="0"/>
        <v>1</v>
      </c>
      <c r="H11" s="16">
        <v>17</v>
      </c>
      <c r="I11">
        <v>-76.346108000000001</v>
      </c>
      <c r="J11">
        <v>42.833632999999999</v>
      </c>
      <c r="K11">
        <v>2</v>
      </c>
      <c r="L11" t="s">
        <v>361</v>
      </c>
      <c r="M11" t="s">
        <v>360</v>
      </c>
      <c r="N11">
        <v>5</v>
      </c>
      <c r="O11">
        <v>10</v>
      </c>
      <c r="P11" s="14">
        <v>17</v>
      </c>
      <c r="Q11">
        <v>1</v>
      </c>
      <c r="R11" t="s">
        <v>357</v>
      </c>
      <c r="S11" t="s">
        <v>355</v>
      </c>
    </row>
    <row r="12" spans="1:19" x14ac:dyDescent="0.25">
      <c r="A12" t="s">
        <v>14</v>
      </c>
      <c r="E12" s="16"/>
      <c r="F12" s="16"/>
      <c r="G12" s="16" t="str">
        <f t="shared" si="0"/>
        <v/>
      </c>
      <c r="H12" s="16"/>
      <c r="I12">
        <v>-76.390535</v>
      </c>
      <c r="J12">
        <v>42.895093000000003</v>
      </c>
      <c r="K12">
        <v>3</v>
      </c>
      <c r="L12" t="s">
        <v>361</v>
      </c>
      <c r="M12" t="s">
        <v>359</v>
      </c>
      <c r="N12">
        <v>326</v>
      </c>
      <c r="O12">
        <v>0</v>
      </c>
      <c r="Q12">
        <v>0</v>
      </c>
      <c r="R12" t="s">
        <v>352</v>
      </c>
      <c r="S12" t="s">
        <v>356</v>
      </c>
    </row>
    <row r="13" spans="1:19" x14ac:dyDescent="0.25">
      <c r="A13" t="s">
        <v>15</v>
      </c>
      <c r="B13" s="14" t="s">
        <v>847</v>
      </c>
      <c r="C13" s="18" t="s">
        <v>834</v>
      </c>
      <c r="D13" s="18" t="s">
        <v>834</v>
      </c>
      <c r="E13" s="16" t="s">
        <v>763</v>
      </c>
      <c r="F13" s="16" t="str">
        <f>UPPER(RIGHT(E13,9))</f>
        <v>03-03M-WA</v>
      </c>
      <c r="G13" s="16" t="b">
        <f t="shared" si="0"/>
        <v>1</v>
      </c>
      <c r="H13" s="16">
        <v>22</v>
      </c>
      <c r="I13">
        <v>-76.346090000000004</v>
      </c>
      <c r="J13">
        <v>42.833731999999998</v>
      </c>
      <c r="K13">
        <v>3</v>
      </c>
      <c r="L13" t="s">
        <v>361</v>
      </c>
      <c r="M13" t="s">
        <v>359</v>
      </c>
      <c r="N13">
        <v>55</v>
      </c>
      <c r="O13">
        <v>44</v>
      </c>
      <c r="P13" s="14">
        <v>22</v>
      </c>
      <c r="Q13">
        <v>0</v>
      </c>
      <c r="R13" t="s">
        <v>352</v>
      </c>
      <c r="S13" t="s">
        <v>356</v>
      </c>
    </row>
    <row r="14" spans="1:19" x14ac:dyDescent="0.25">
      <c r="A14" t="s">
        <v>16</v>
      </c>
      <c r="B14" s="14" t="s">
        <v>848</v>
      </c>
      <c r="C14" s="18" t="s">
        <v>834</v>
      </c>
      <c r="D14" s="18" t="s">
        <v>834</v>
      </c>
      <c r="E14" s="16" t="s">
        <v>764</v>
      </c>
      <c r="F14" s="16" t="str">
        <f>UPPER(RIGHT(E14,9))</f>
        <v>03-03M-WB</v>
      </c>
      <c r="G14" s="16" t="b">
        <f t="shared" si="0"/>
        <v>1</v>
      </c>
      <c r="H14" s="16">
        <v>101</v>
      </c>
      <c r="I14">
        <v>-76.412357</v>
      </c>
      <c r="J14">
        <v>42.894993999999997</v>
      </c>
      <c r="K14">
        <v>3</v>
      </c>
      <c r="L14" t="s">
        <v>361</v>
      </c>
      <c r="M14" t="s">
        <v>360</v>
      </c>
      <c r="N14">
        <v>98</v>
      </c>
      <c r="O14">
        <v>106</v>
      </c>
      <c r="P14" s="14">
        <v>101</v>
      </c>
      <c r="Q14">
        <v>1</v>
      </c>
      <c r="R14" t="s">
        <v>352</v>
      </c>
      <c r="S14" t="s">
        <v>354</v>
      </c>
    </row>
    <row r="15" spans="1:19" x14ac:dyDescent="0.25">
      <c r="A15" t="s">
        <v>17</v>
      </c>
      <c r="B15" s="14" t="s">
        <v>849</v>
      </c>
      <c r="C15" s="18" t="s">
        <v>834</v>
      </c>
      <c r="D15" s="18" t="s">
        <v>834</v>
      </c>
      <c r="E15" s="16" t="s">
        <v>765</v>
      </c>
      <c r="F15" s="16" t="str">
        <f>UPPER(RIGHT(E15,9))</f>
        <v>03-04M-WA</v>
      </c>
      <c r="G15" s="16" t="b">
        <f t="shared" si="0"/>
        <v>1</v>
      </c>
      <c r="H15" s="16">
        <v>321</v>
      </c>
      <c r="I15">
        <v>-76.411986999999996</v>
      </c>
      <c r="J15">
        <v>42.894697000000001</v>
      </c>
      <c r="K15">
        <v>4</v>
      </c>
      <c r="L15" t="s">
        <v>361</v>
      </c>
      <c r="M15" t="s">
        <v>359</v>
      </c>
      <c r="N15">
        <v>246</v>
      </c>
      <c r="O15">
        <v>386</v>
      </c>
      <c r="P15" s="14">
        <v>321</v>
      </c>
      <c r="Q15">
        <v>2</v>
      </c>
      <c r="R15" t="s">
        <v>352</v>
      </c>
      <c r="S15" t="s">
        <v>355</v>
      </c>
    </row>
    <row r="16" spans="1:19" x14ac:dyDescent="0.25">
      <c r="A16" t="s">
        <v>18</v>
      </c>
      <c r="B16" s="14" t="s">
        <v>850</v>
      </c>
      <c r="E16" s="16"/>
      <c r="F16" s="16"/>
      <c r="G16" s="16" t="str">
        <f t="shared" si="0"/>
        <v/>
      </c>
      <c r="H16" s="16"/>
      <c r="I16">
        <v>-76.390895999999998</v>
      </c>
      <c r="J16">
        <v>42.894928</v>
      </c>
      <c r="K16">
        <v>5</v>
      </c>
      <c r="L16" t="s">
        <v>361</v>
      </c>
      <c r="M16" t="s">
        <v>359</v>
      </c>
      <c r="N16">
        <v>312</v>
      </c>
      <c r="O16">
        <v>1</v>
      </c>
      <c r="Q16">
        <v>0</v>
      </c>
      <c r="R16" t="s">
        <v>352</v>
      </c>
      <c r="S16" t="s">
        <v>356</v>
      </c>
    </row>
    <row r="17" spans="1:19" x14ac:dyDescent="0.25">
      <c r="A17" t="s">
        <v>19</v>
      </c>
      <c r="C17" s="18" t="s">
        <v>834</v>
      </c>
      <c r="D17" s="18" t="s">
        <v>834</v>
      </c>
      <c r="E17" s="16" t="s">
        <v>766</v>
      </c>
      <c r="F17" s="16" t="str">
        <f>UPPER(RIGHT(E17,9))</f>
        <v>03-05M-WA</v>
      </c>
      <c r="G17" s="16" t="b">
        <f t="shared" si="0"/>
        <v>1</v>
      </c>
      <c r="H17" s="16">
        <v>133</v>
      </c>
      <c r="I17">
        <v>-76.411861000000002</v>
      </c>
      <c r="J17">
        <v>42.894782999999997</v>
      </c>
      <c r="K17">
        <v>5</v>
      </c>
      <c r="L17" t="s">
        <v>361</v>
      </c>
      <c r="M17" t="s">
        <v>359</v>
      </c>
      <c r="N17">
        <v>190</v>
      </c>
      <c r="O17">
        <v>177</v>
      </c>
      <c r="P17" s="14">
        <v>133</v>
      </c>
      <c r="Q17">
        <v>1</v>
      </c>
      <c r="R17" t="s">
        <v>352</v>
      </c>
      <c r="S17" t="s">
        <v>353</v>
      </c>
    </row>
    <row r="18" spans="1:19" x14ac:dyDescent="0.25">
      <c r="A18" t="s">
        <v>20</v>
      </c>
      <c r="B18" s="14" t="s">
        <v>851</v>
      </c>
      <c r="C18" s="18" t="s">
        <v>834</v>
      </c>
      <c r="D18" s="18" t="s">
        <v>834</v>
      </c>
      <c r="E18" s="16" t="s">
        <v>767</v>
      </c>
      <c r="F18" s="16" t="str">
        <f>UPPER(RIGHT(E18,9))</f>
        <v>03-05M-WB</v>
      </c>
      <c r="G18" s="16" t="b">
        <f t="shared" si="0"/>
        <v>1</v>
      </c>
      <c r="H18" s="16">
        <v>69</v>
      </c>
      <c r="I18">
        <v>-76.411921000000007</v>
      </c>
      <c r="J18">
        <v>42.894919333333299</v>
      </c>
      <c r="K18">
        <v>5</v>
      </c>
      <c r="L18" t="s">
        <v>361</v>
      </c>
      <c r="M18" t="s">
        <v>360</v>
      </c>
      <c r="N18">
        <v>230</v>
      </c>
      <c r="O18">
        <v>63</v>
      </c>
      <c r="P18" s="14">
        <v>69</v>
      </c>
      <c r="Q18">
        <v>1</v>
      </c>
      <c r="R18" t="s">
        <v>352</v>
      </c>
      <c r="S18" t="s">
        <v>354</v>
      </c>
    </row>
    <row r="19" spans="1:19" x14ac:dyDescent="0.25">
      <c r="A19" t="s">
        <v>21</v>
      </c>
      <c r="B19" s="14" t="s">
        <v>853</v>
      </c>
      <c r="C19" s="18" t="s">
        <v>834</v>
      </c>
      <c r="D19" s="18" t="s">
        <v>834</v>
      </c>
      <c r="E19" s="16" t="s">
        <v>769</v>
      </c>
      <c r="F19" s="16" t="str">
        <f>UPPER(RIGHT(E19,9))</f>
        <v>03-08M-EA</v>
      </c>
      <c r="G19" s="16" t="b">
        <f t="shared" si="0"/>
        <v>1</v>
      </c>
      <c r="H19" s="16">
        <v>3</v>
      </c>
      <c r="I19">
        <v>-76.391193000000001</v>
      </c>
      <c r="J19">
        <v>42.895040000000002</v>
      </c>
      <c r="K19">
        <v>8</v>
      </c>
      <c r="L19" t="s">
        <v>361</v>
      </c>
      <c r="M19" t="s">
        <v>359</v>
      </c>
      <c r="N19">
        <v>194</v>
      </c>
      <c r="O19">
        <v>0</v>
      </c>
      <c r="P19" s="14">
        <v>3</v>
      </c>
      <c r="Q19">
        <v>0</v>
      </c>
      <c r="R19" t="s">
        <v>352</v>
      </c>
      <c r="S19" t="s">
        <v>356</v>
      </c>
    </row>
    <row r="20" spans="1:19" x14ac:dyDescent="0.25">
      <c r="A20" t="s">
        <v>22</v>
      </c>
      <c r="E20" s="16"/>
      <c r="F20" s="16"/>
      <c r="G20" s="16" t="str">
        <f t="shared" si="0"/>
        <v/>
      </c>
      <c r="H20" s="16"/>
      <c r="I20">
        <v>-76.391193000000001</v>
      </c>
      <c r="J20">
        <v>42.895040000000002</v>
      </c>
      <c r="K20">
        <v>8</v>
      </c>
      <c r="L20" t="s">
        <v>361</v>
      </c>
      <c r="M20" t="s">
        <v>360</v>
      </c>
      <c r="N20">
        <v>170</v>
      </c>
      <c r="O20">
        <v>0</v>
      </c>
      <c r="Q20">
        <v>0</v>
      </c>
      <c r="R20" t="s">
        <v>352</v>
      </c>
      <c r="S20" t="s">
        <v>356</v>
      </c>
    </row>
    <row r="21" spans="1:19" x14ac:dyDescent="0.25">
      <c r="A21" t="s">
        <v>23</v>
      </c>
      <c r="B21" s="14" t="s">
        <v>852</v>
      </c>
      <c r="C21" s="18" t="s">
        <v>834</v>
      </c>
      <c r="D21" s="18" t="s">
        <v>834</v>
      </c>
      <c r="E21" s="16" t="s">
        <v>768</v>
      </c>
      <c r="F21" s="16" t="str">
        <f t="shared" ref="F21:F28" si="1">UPPER(RIGHT(E21,9))</f>
        <v>03-08M-WA</v>
      </c>
      <c r="G21" s="16" t="b">
        <f t="shared" si="0"/>
        <v>1</v>
      </c>
      <c r="H21" s="16">
        <v>295</v>
      </c>
      <c r="I21">
        <v>-76.411734999999993</v>
      </c>
      <c r="J21">
        <v>42.894888000000002</v>
      </c>
      <c r="K21">
        <v>8</v>
      </c>
      <c r="L21" t="s">
        <v>361</v>
      </c>
      <c r="M21" t="s">
        <v>359</v>
      </c>
      <c r="N21">
        <v>128</v>
      </c>
      <c r="O21">
        <v>237</v>
      </c>
      <c r="P21" s="14">
        <v>295</v>
      </c>
      <c r="Q21">
        <v>1</v>
      </c>
      <c r="R21" t="s">
        <v>352</v>
      </c>
      <c r="S21" t="s">
        <v>355</v>
      </c>
    </row>
    <row r="22" spans="1:19" x14ac:dyDescent="0.25">
      <c r="A22" t="s">
        <v>24</v>
      </c>
      <c r="B22" s="14" t="s">
        <v>856</v>
      </c>
      <c r="C22" s="18" t="s">
        <v>834</v>
      </c>
      <c r="D22" s="18" t="s">
        <v>834</v>
      </c>
      <c r="E22" s="16" t="s">
        <v>772</v>
      </c>
      <c r="F22" s="16" t="str">
        <f t="shared" si="1"/>
        <v>03-11M-EA</v>
      </c>
      <c r="G22" s="16" t="b">
        <f t="shared" si="0"/>
        <v>1</v>
      </c>
      <c r="H22" s="16">
        <v>633</v>
      </c>
      <c r="I22">
        <v>-76.391499999999994</v>
      </c>
      <c r="J22">
        <v>42.895133000000001</v>
      </c>
      <c r="K22">
        <v>11</v>
      </c>
      <c r="L22" t="s">
        <v>361</v>
      </c>
      <c r="M22" t="s">
        <v>359</v>
      </c>
      <c r="N22">
        <v>684</v>
      </c>
      <c r="O22">
        <v>575</v>
      </c>
      <c r="P22" s="14">
        <v>633</v>
      </c>
      <c r="Q22">
        <v>1</v>
      </c>
      <c r="R22" t="s">
        <v>352</v>
      </c>
      <c r="S22" t="s">
        <v>355</v>
      </c>
    </row>
    <row r="23" spans="1:19" x14ac:dyDescent="0.25">
      <c r="A23" t="s">
        <v>25</v>
      </c>
      <c r="B23" s="14" t="s">
        <v>854</v>
      </c>
      <c r="C23" s="18" t="s">
        <v>834</v>
      </c>
      <c r="D23" s="18" t="s">
        <v>834</v>
      </c>
      <c r="E23" s="16" t="s">
        <v>770</v>
      </c>
      <c r="F23" s="16" t="str">
        <f t="shared" si="1"/>
        <v>03-11M-WA</v>
      </c>
      <c r="G23" s="16" t="b">
        <f t="shared" si="0"/>
        <v>1</v>
      </c>
      <c r="H23" s="16">
        <v>517</v>
      </c>
      <c r="I23">
        <v>-76.411698999999999</v>
      </c>
      <c r="J23">
        <v>42.894902000000002</v>
      </c>
      <c r="K23">
        <v>11</v>
      </c>
      <c r="L23" t="s">
        <v>361</v>
      </c>
      <c r="M23" t="s">
        <v>359</v>
      </c>
      <c r="N23">
        <v>295</v>
      </c>
      <c r="O23">
        <v>526</v>
      </c>
      <c r="P23" s="14">
        <v>517</v>
      </c>
      <c r="Q23">
        <v>2</v>
      </c>
      <c r="R23" t="s">
        <v>352</v>
      </c>
      <c r="S23" t="s">
        <v>355</v>
      </c>
    </row>
    <row r="24" spans="1:19" x14ac:dyDescent="0.25">
      <c r="A24" t="s">
        <v>26</v>
      </c>
      <c r="B24" s="14" t="s">
        <v>855</v>
      </c>
      <c r="C24" s="18" t="s">
        <v>834</v>
      </c>
      <c r="D24" s="18" t="s">
        <v>834</v>
      </c>
      <c r="E24" s="16" t="s">
        <v>771</v>
      </c>
      <c r="F24" s="16" t="str">
        <f t="shared" si="1"/>
        <v>03-11M-WB</v>
      </c>
      <c r="G24" s="16" t="b">
        <f t="shared" si="0"/>
        <v>1</v>
      </c>
      <c r="H24" s="16">
        <v>546</v>
      </c>
      <c r="I24">
        <v>-76.411755999999997</v>
      </c>
      <c r="J24">
        <v>42.895016333333302</v>
      </c>
      <c r="K24">
        <v>11</v>
      </c>
      <c r="L24" t="s">
        <v>361</v>
      </c>
      <c r="M24" t="s">
        <v>360</v>
      </c>
      <c r="N24">
        <v>312</v>
      </c>
      <c r="O24">
        <v>525</v>
      </c>
      <c r="P24" s="14">
        <v>546</v>
      </c>
      <c r="Q24">
        <v>1</v>
      </c>
      <c r="R24" t="s">
        <v>352</v>
      </c>
      <c r="S24" t="s">
        <v>355</v>
      </c>
    </row>
    <row r="25" spans="1:19" x14ac:dyDescent="0.25">
      <c r="A25" t="s">
        <v>27</v>
      </c>
      <c r="B25" s="14" t="s">
        <v>859</v>
      </c>
      <c r="C25" s="18" t="s">
        <v>834</v>
      </c>
      <c r="D25" s="18" t="s">
        <v>834</v>
      </c>
      <c r="E25" s="16" t="s">
        <v>775</v>
      </c>
      <c r="F25" s="16" t="str">
        <f t="shared" si="1"/>
        <v>03-14M-EA</v>
      </c>
      <c r="G25" s="16" t="b">
        <f t="shared" si="0"/>
        <v>1</v>
      </c>
      <c r="H25" s="16">
        <v>368</v>
      </c>
      <c r="I25">
        <v>-76.391689</v>
      </c>
      <c r="J25">
        <v>42.895184999999998</v>
      </c>
      <c r="K25">
        <v>14</v>
      </c>
      <c r="L25" t="s">
        <v>361</v>
      </c>
      <c r="M25" t="s">
        <v>359</v>
      </c>
      <c r="N25">
        <v>244</v>
      </c>
      <c r="O25">
        <v>394</v>
      </c>
      <c r="P25" s="14">
        <v>368</v>
      </c>
      <c r="Q25">
        <v>2</v>
      </c>
      <c r="R25" t="s">
        <v>352</v>
      </c>
      <c r="S25" t="s">
        <v>354</v>
      </c>
    </row>
    <row r="26" spans="1:19" x14ac:dyDescent="0.25">
      <c r="A26" t="s">
        <v>28</v>
      </c>
      <c r="B26" s="14" t="s">
        <v>857</v>
      </c>
      <c r="C26" s="18" t="s">
        <v>834</v>
      </c>
      <c r="D26" s="18" t="s">
        <v>834</v>
      </c>
      <c r="E26" s="16" t="s">
        <v>773</v>
      </c>
      <c r="F26" s="16" t="str">
        <f t="shared" si="1"/>
        <v>03-14M-WA</v>
      </c>
      <c r="G26" s="16" t="b">
        <f t="shared" si="0"/>
        <v>1</v>
      </c>
      <c r="H26" s="16">
        <v>171</v>
      </c>
      <c r="I26">
        <v>-76.411653999999999</v>
      </c>
      <c r="J26">
        <v>42.894987</v>
      </c>
      <c r="K26">
        <v>14</v>
      </c>
      <c r="L26" t="s">
        <v>361</v>
      </c>
      <c r="M26" t="s">
        <v>359</v>
      </c>
      <c r="N26">
        <v>336</v>
      </c>
      <c r="O26">
        <v>144</v>
      </c>
      <c r="P26" s="14">
        <v>171</v>
      </c>
      <c r="Q26">
        <v>1</v>
      </c>
      <c r="R26" t="s">
        <v>352</v>
      </c>
      <c r="S26" t="s">
        <v>355</v>
      </c>
    </row>
    <row r="27" spans="1:19" x14ac:dyDescent="0.25">
      <c r="A27" t="s">
        <v>29</v>
      </c>
      <c r="B27" s="14" t="s">
        <v>858</v>
      </c>
      <c r="C27" s="18" t="s">
        <v>834</v>
      </c>
      <c r="D27" s="18" t="s">
        <v>834</v>
      </c>
      <c r="E27" s="16" t="s">
        <v>774</v>
      </c>
      <c r="F27" s="16" t="str">
        <f t="shared" si="1"/>
        <v>03-14M-WB</v>
      </c>
      <c r="G27" s="16" t="b">
        <f t="shared" si="0"/>
        <v>1</v>
      </c>
      <c r="H27" s="16">
        <v>377</v>
      </c>
      <c r="I27">
        <v>-76.411663000000004</v>
      </c>
      <c r="J27">
        <v>42.895015666666701</v>
      </c>
      <c r="K27">
        <v>14</v>
      </c>
      <c r="L27" t="s">
        <v>361</v>
      </c>
      <c r="M27" t="s">
        <v>360</v>
      </c>
      <c r="N27">
        <v>171</v>
      </c>
      <c r="O27">
        <v>356</v>
      </c>
      <c r="P27" s="14">
        <v>377</v>
      </c>
      <c r="Q27">
        <v>1</v>
      </c>
      <c r="R27" t="s">
        <v>352</v>
      </c>
      <c r="S27" t="s">
        <v>355</v>
      </c>
    </row>
    <row r="28" spans="1:19" x14ac:dyDescent="0.25">
      <c r="A28" t="s">
        <v>30</v>
      </c>
      <c r="B28" s="14" t="s">
        <v>860</v>
      </c>
      <c r="C28" s="18" t="s">
        <v>834</v>
      </c>
      <c r="E28" s="16" t="s">
        <v>776</v>
      </c>
      <c r="F28" s="16" t="str">
        <f t="shared" si="1"/>
        <v>03-17M-EA</v>
      </c>
      <c r="G28" s="16" t="b">
        <f t="shared" si="0"/>
        <v>1</v>
      </c>
      <c r="H28" s="16">
        <v>662</v>
      </c>
      <c r="I28">
        <v>-76.391941000000003</v>
      </c>
      <c r="J28">
        <v>42.895271000000001</v>
      </c>
      <c r="K28">
        <v>17</v>
      </c>
      <c r="L28" t="s">
        <v>361</v>
      </c>
      <c r="M28" t="s">
        <v>359</v>
      </c>
      <c r="N28">
        <v>1481</v>
      </c>
      <c r="O28">
        <v>642</v>
      </c>
      <c r="P28" s="14">
        <v>662</v>
      </c>
      <c r="Q28">
        <v>1</v>
      </c>
      <c r="R28" t="s">
        <v>352</v>
      </c>
      <c r="S28" t="s">
        <v>355</v>
      </c>
    </row>
    <row r="29" spans="1:19" x14ac:dyDescent="0.25">
      <c r="A29" t="s">
        <v>31</v>
      </c>
      <c r="E29" s="16"/>
      <c r="F29" s="16"/>
      <c r="G29" s="16" t="str">
        <f t="shared" si="0"/>
        <v/>
      </c>
      <c r="H29" s="16"/>
      <c r="I29">
        <v>-76.396331000000004</v>
      </c>
      <c r="J29">
        <v>42.860674000000003</v>
      </c>
      <c r="K29">
        <v>5</v>
      </c>
      <c r="L29" t="s">
        <v>371</v>
      </c>
      <c r="M29" t="s">
        <v>359</v>
      </c>
      <c r="N29">
        <v>16</v>
      </c>
      <c r="Q29">
        <v>0</v>
      </c>
    </row>
    <row r="30" spans="1:19" x14ac:dyDescent="0.25">
      <c r="A30" t="s">
        <v>32</v>
      </c>
      <c r="E30" s="16"/>
      <c r="F30" s="16"/>
      <c r="G30" s="16" t="str">
        <f t="shared" si="0"/>
        <v/>
      </c>
      <c r="H30" s="16"/>
      <c r="I30">
        <v>-76.396331000000004</v>
      </c>
      <c r="J30">
        <v>42.860674000000003</v>
      </c>
      <c r="K30">
        <v>5</v>
      </c>
      <c r="L30" t="s">
        <v>371</v>
      </c>
      <c r="M30" t="s">
        <v>360</v>
      </c>
      <c r="N30">
        <v>54</v>
      </c>
      <c r="Q30">
        <v>0</v>
      </c>
    </row>
    <row r="31" spans="1:19" x14ac:dyDescent="0.25">
      <c r="A31" t="s">
        <v>33</v>
      </c>
      <c r="B31" s="14" t="s">
        <v>861</v>
      </c>
      <c r="C31" s="18" t="s">
        <v>834</v>
      </c>
      <c r="D31" s="18" t="s">
        <v>834</v>
      </c>
      <c r="E31" s="16" t="s">
        <v>777</v>
      </c>
      <c r="F31" s="16" t="str">
        <f>UPPER(RIGHT(E31,9))</f>
        <v>05-01M-WA</v>
      </c>
      <c r="G31" s="16" t="b">
        <f t="shared" si="0"/>
        <v>1</v>
      </c>
      <c r="H31" s="16">
        <v>108</v>
      </c>
      <c r="I31">
        <v>-76.346513999999999</v>
      </c>
      <c r="J31">
        <v>42.833222999999997</v>
      </c>
      <c r="K31">
        <v>1</v>
      </c>
      <c r="L31" t="s">
        <v>362</v>
      </c>
      <c r="M31" t="s">
        <v>359</v>
      </c>
      <c r="N31">
        <v>401</v>
      </c>
      <c r="O31">
        <v>98</v>
      </c>
      <c r="P31" s="14">
        <v>108</v>
      </c>
      <c r="Q31">
        <v>1</v>
      </c>
      <c r="R31" t="s">
        <v>357</v>
      </c>
      <c r="S31" t="s">
        <v>355</v>
      </c>
    </row>
    <row r="32" spans="1:19" x14ac:dyDescent="0.25">
      <c r="A32" t="s">
        <v>34</v>
      </c>
      <c r="B32" s="14" t="s">
        <v>862</v>
      </c>
      <c r="C32" s="18" t="s">
        <v>834</v>
      </c>
      <c r="D32" s="18" t="s">
        <v>834</v>
      </c>
      <c r="E32" s="16" t="s">
        <v>778</v>
      </c>
      <c r="F32" s="16" t="str">
        <f>UPPER(RIGHT(E32,9))</f>
        <v>05-02M-EA</v>
      </c>
      <c r="G32" s="16" t="b">
        <f t="shared" si="0"/>
        <v>1</v>
      </c>
      <c r="H32" s="16">
        <v>52</v>
      </c>
      <c r="I32">
        <v>-76.327081000000007</v>
      </c>
      <c r="J32">
        <v>42.834552000000002</v>
      </c>
      <c r="K32">
        <v>2</v>
      </c>
      <c r="L32" t="s">
        <v>362</v>
      </c>
      <c r="M32" t="s">
        <v>359</v>
      </c>
      <c r="N32">
        <v>164</v>
      </c>
      <c r="O32">
        <v>31</v>
      </c>
      <c r="P32" s="14">
        <v>52</v>
      </c>
      <c r="Q32">
        <v>0</v>
      </c>
      <c r="R32" t="s">
        <v>352</v>
      </c>
      <c r="S32" t="s">
        <v>356</v>
      </c>
    </row>
    <row r="33" spans="1:19" x14ac:dyDescent="0.25">
      <c r="A33" t="s">
        <v>35</v>
      </c>
      <c r="B33" s="14" t="s">
        <v>863</v>
      </c>
      <c r="C33" s="18" t="s">
        <v>834</v>
      </c>
      <c r="D33" s="18" t="s">
        <v>834</v>
      </c>
      <c r="E33" s="16" t="s">
        <v>779</v>
      </c>
      <c r="F33" s="16" t="str">
        <f>UPPER(RIGHT(E33,9))</f>
        <v>05-03M-EA</v>
      </c>
      <c r="G33" s="16" t="b">
        <f t="shared" si="0"/>
        <v>1</v>
      </c>
      <c r="H33" s="16">
        <v>26</v>
      </c>
      <c r="I33">
        <v>-76.327117000000001</v>
      </c>
      <c r="J33">
        <v>42.834400000000002</v>
      </c>
      <c r="K33">
        <v>3</v>
      </c>
      <c r="L33" t="s">
        <v>362</v>
      </c>
      <c r="M33" t="s">
        <v>359</v>
      </c>
      <c r="N33">
        <v>92</v>
      </c>
      <c r="O33">
        <v>22</v>
      </c>
      <c r="P33" s="14">
        <v>26</v>
      </c>
      <c r="Q33">
        <v>0</v>
      </c>
      <c r="R33" t="s">
        <v>352</v>
      </c>
      <c r="S33" t="s">
        <v>354</v>
      </c>
    </row>
    <row r="34" spans="1:19" x14ac:dyDescent="0.25">
      <c r="A34" t="s">
        <v>36</v>
      </c>
      <c r="B34" s="14" t="s">
        <v>865</v>
      </c>
      <c r="E34" s="16"/>
      <c r="F34" s="16"/>
      <c r="G34" s="16" t="str">
        <f t="shared" ref="G34:G65" si="2">IF(E34="","",F34=A34)</f>
        <v/>
      </c>
      <c r="H34" s="16"/>
      <c r="I34">
        <v>-76.346324999999993</v>
      </c>
      <c r="J34">
        <v>42.833342000000002</v>
      </c>
      <c r="K34">
        <v>3</v>
      </c>
      <c r="L34" t="s">
        <v>362</v>
      </c>
      <c r="M34" t="s">
        <v>359</v>
      </c>
      <c r="N34">
        <v>161</v>
      </c>
      <c r="O34">
        <v>0</v>
      </c>
      <c r="Q34">
        <v>0</v>
      </c>
      <c r="R34" t="s">
        <v>352</v>
      </c>
      <c r="S34" t="s">
        <v>356</v>
      </c>
    </row>
    <row r="35" spans="1:19" x14ac:dyDescent="0.25">
      <c r="A35" t="s">
        <v>37</v>
      </c>
      <c r="B35" s="14" t="s">
        <v>864</v>
      </c>
      <c r="C35" s="18" t="s">
        <v>834</v>
      </c>
      <c r="D35" s="18" t="s">
        <v>834</v>
      </c>
      <c r="E35" s="16" t="s">
        <v>780</v>
      </c>
      <c r="F35" s="16" t="str">
        <f>UPPER(RIGHT(E35,9))</f>
        <v>05-05M-EA</v>
      </c>
      <c r="G35" s="16" t="b">
        <f t="shared" si="2"/>
        <v>1</v>
      </c>
      <c r="H35" s="16">
        <v>243</v>
      </c>
      <c r="I35">
        <v>-76.327423999999993</v>
      </c>
      <c r="J35">
        <v>42.834266999999997</v>
      </c>
      <c r="K35">
        <v>5</v>
      </c>
      <c r="L35" t="s">
        <v>362</v>
      </c>
      <c r="M35" t="s">
        <v>359</v>
      </c>
      <c r="N35">
        <v>727</v>
      </c>
      <c r="O35">
        <v>258</v>
      </c>
      <c r="P35" s="14">
        <v>243</v>
      </c>
      <c r="Q35">
        <v>1</v>
      </c>
      <c r="R35" t="s">
        <v>352</v>
      </c>
      <c r="S35" t="s">
        <v>354</v>
      </c>
    </row>
    <row r="36" spans="1:19" x14ac:dyDescent="0.25">
      <c r="A36" t="s">
        <v>38</v>
      </c>
      <c r="C36" s="18" t="s">
        <v>834</v>
      </c>
      <c r="D36" s="18" t="s">
        <v>834</v>
      </c>
      <c r="E36" s="16" t="s">
        <v>781</v>
      </c>
      <c r="F36" s="16" t="str">
        <f>UPPER(RIGHT(E36,9))</f>
        <v>05-05M-WA</v>
      </c>
      <c r="G36" s="16" t="b">
        <f t="shared" si="2"/>
        <v>1</v>
      </c>
      <c r="H36" s="16">
        <v>89</v>
      </c>
      <c r="I36">
        <v>-76.346406000000002</v>
      </c>
      <c r="J36">
        <v>42.833480999999999</v>
      </c>
      <c r="K36">
        <v>5</v>
      </c>
      <c r="L36" t="s">
        <v>362</v>
      </c>
      <c r="M36" t="s">
        <v>359</v>
      </c>
      <c r="N36">
        <v>177</v>
      </c>
      <c r="O36">
        <v>137</v>
      </c>
      <c r="P36" s="14">
        <v>89</v>
      </c>
      <c r="Q36">
        <v>0</v>
      </c>
      <c r="R36" t="s">
        <v>352</v>
      </c>
      <c r="S36" t="s">
        <v>354</v>
      </c>
    </row>
    <row r="37" spans="1:19" x14ac:dyDescent="0.25">
      <c r="A37" t="s">
        <v>39</v>
      </c>
      <c r="B37" s="14" t="s">
        <v>866</v>
      </c>
      <c r="C37" s="18" t="s">
        <v>834</v>
      </c>
      <c r="D37" s="18" t="s">
        <v>834</v>
      </c>
      <c r="E37" s="16" t="s">
        <v>782</v>
      </c>
      <c r="F37" s="16" t="str">
        <f>UPPER(RIGHT(E37,9))</f>
        <v>05-08M-EA</v>
      </c>
      <c r="G37" s="16" t="b">
        <f t="shared" si="2"/>
        <v>1</v>
      </c>
      <c r="H37" s="16">
        <v>589</v>
      </c>
      <c r="I37">
        <v>-76.327460000000002</v>
      </c>
      <c r="J37">
        <v>42.834234000000002</v>
      </c>
      <c r="K37">
        <v>8</v>
      </c>
      <c r="L37" t="s">
        <v>362</v>
      </c>
      <c r="M37" t="s">
        <v>359</v>
      </c>
      <c r="N37">
        <v>1004</v>
      </c>
      <c r="O37">
        <v>619</v>
      </c>
      <c r="P37" s="14">
        <v>589</v>
      </c>
      <c r="Q37">
        <v>2</v>
      </c>
      <c r="R37" t="s">
        <v>352</v>
      </c>
      <c r="S37" t="s">
        <v>355</v>
      </c>
    </row>
    <row r="38" spans="1:19" x14ac:dyDescent="0.25">
      <c r="A38" t="s">
        <v>40</v>
      </c>
      <c r="E38" s="16"/>
      <c r="F38" s="16"/>
      <c r="G38" s="16" t="str">
        <f t="shared" si="2"/>
        <v/>
      </c>
      <c r="H38" s="16"/>
      <c r="I38">
        <v>-76.346215999999998</v>
      </c>
      <c r="J38">
        <v>42.833553000000002</v>
      </c>
      <c r="K38">
        <v>8</v>
      </c>
      <c r="L38" t="s">
        <v>362</v>
      </c>
      <c r="M38" t="s">
        <v>359</v>
      </c>
      <c r="N38">
        <v>259</v>
      </c>
      <c r="O38">
        <v>0</v>
      </c>
      <c r="Q38">
        <v>0</v>
      </c>
      <c r="R38" t="s">
        <v>352</v>
      </c>
      <c r="S38" t="s">
        <v>356</v>
      </c>
    </row>
    <row r="39" spans="1:19" x14ac:dyDescent="0.25">
      <c r="A39" t="s">
        <v>41</v>
      </c>
      <c r="B39" s="14" t="s">
        <v>867</v>
      </c>
      <c r="C39" s="18" t="s">
        <v>834</v>
      </c>
      <c r="D39" s="18" t="s">
        <v>834</v>
      </c>
      <c r="E39" s="16" t="s">
        <v>783</v>
      </c>
      <c r="F39" s="16" t="str">
        <f t="shared" ref="F39:F44" si="3">UPPER(RIGHT(E39,9))</f>
        <v>05-11M-EA</v>
      </c>
      <c r="G39" s="16" t="b">
        <f t="shared" si="2"/>
        <v>1</v>
      </c>
      <c r="H39" s="16">
        <v>494</v>
      </c>
      <c r="I39">
        <v>-76.327577000000005</v>
      </c>
      <c r="J39">
        <v>42.834254000000001</v>
      </c>
      <c r="K39">
        <v>11</v>
      </c>
      <c r="L39" t="s">
        <v>362</v>
      </c>
      <c r="M39" t="s">
        <v>359</v>
      </c>
      <c r="N39">
        <v>1026</v>
      </c>
      <c r="O39">
        <v>483</v>
      </c>
      <c r="P39" s="14">
        <v>494</v>
      </c>
      <c r="Q39">
        <v>2</v>
      </c>
      <c r="R39" t="s">
        <v>352</v>
      </c>
      <c r="S39" t="s">
        <v>355</v>
      </c>
    </row>
    <row r="40" spans="1:19" x14ac:dyDescent="0.25">
      <c r="A40" t="s">
        <v>42</v>
      </c>
      <c r="B40" s="14" t="s">
        <v>868</v>
      </c>
      <c r="C40" s="18" t="s">
        <v>834</v>
      </c>
      <c r="D40" s="18" t="s">
        <v>834</v>
      </c>
      <c r="E40" s="16" t="s">
        <v>784</v>
      </c>
      <c r="F40" s="16" t="str">
        <f t="shared" si="3"/>
        <v>05-11M-WA</v>
      </c>
      <c r="G40" s="16" t="b">
        <f t="shared" si="2"/>
        <v>1</v>
      </c>
      <c r="H40" s="16">
        <v>399</v>
      </c>
      <c r="I40">
        <v>-76.346108000000001</v>
      </c>
      <c r="J40">
        <v>42.833632999999999</v>
      </c>
      <c r="K40">
        <v>11</v>
      </c>
      <c r="L40" t="s">
        <v>362</v>
      </c>
      <c r="M40" t="s">
        <v>359</v>
      </c>
      <c r="N40">
        <v>591</v>
      </c>
      <c r="O40">
        <v>385</v>
      </c>
      <c r="P40" s="14">
        <v>399</v>
      </c>
      <c r="Q40">
        <v>2</v>
      </c>
      <c r="R40" t="s">
        <v>352</v>
      </c>
      <c r="S40" t="s">
        <v>355</v>
      </c>
    </row>
    <row r="41" spans="1:19" x14ac:dyDescent="0.25">
      <c r="A41" t="s">
        <v>43</v>
      </c>
      <c r="B41" s="14" t="s">
        <v>869</v>
      </c>
      <c r="C41" s="18" t="s">
        <v>834</v>
      </c>
      <c r="D41" s="18" t="s">
        <v>834</v>
      </c>
      <c r="E41" s="16" t="s">
        <v>785</v>
      </c>
      <c r="F41" s="16" t="str">
        <f t="shared" si="3"/>
        <v>05-14M-EA</v>
      </c>
      <c r="G41" s="16" t="b">
        <f t="shared" si="2"/>
        <v>1</v>
      </c>
      <c r="H41" s="16">
        <v>409</v>
      </c>
      <c r="I41">
        <v>-76.327630999999997</v>
      </c>
      <c r="J41">
        <v>42.834147999999999</v>
      </c>
      <c r="K41">
        <v>14</v>
      </c>
      <c r="L41" t="s">
        <v>362</v>
      </c>
      <c r="M41" t="s">
        <v>359</v>
      </c>
      <c r="N41">
        <v>602</v>
      </c>
      <c r="O41">
        <v>427</v>
      </c>
      <c r="P41" s="14">
        <v>409</v>
      </c>
      <c r="Q41">
        <v>2</v>
      </c>
      <c r="R41" t="s">
        <v>352</v>
      </c>
      <c r="S41" t="s">
        <v>355</v>
      </c>
    </row>
    <row r="42" spans="1:19" x14ac:dyDescent="0.25">
      <c r="A42" t="s">
        <v>44</v>
      </c>
      <c r="B42" s="14" t="s">
        <v>870</v>
      </c>
      <c r="C42" s="18" t="s">
        <v>834</v>
      </c>
      <c r="D42" s="18" t="s">
        <v>834</v>
      </c>
      <c r="E42" s="16" t="s">
        <v>786</v>
      </c>
      <c r="F42" s="16" t="str">
        <f t="shared" si="3"/>
        <v>05-14M-WA</v>
      </c>
      <c r="G42" s="16" t="b">
        <f t="shared" si="2"/>
        <v>1</v>
      </c>
      <c r="H42" s="16">
        <v>272</v>
      </c>
      <c r="I42">
        <v>-76.346198000000001</v>
      </c>
      <c r="J42">
        <v>42.833731999999998</v>
      </c>
      <c r="K42">
        <v>14</v>
      </c>
      <c r="L42" t="s">
        <v>362</v>
      </c>
      <c r="M42" t="s">
        <v>359</v>
      </c>
      <c r="N42">
        <v>390</v>
      </c>
      <c r="O42">
        <v>296</v>
      </c>
      <c r="P42" s="14">
        <v>272</v>
      </c>
      <c r="Q42">
        <v>1</v>
      </c>
      <c r="R42" t="s">
        <v>352</v>
      </c>
      <c r="S42" t="s">
        <v>355</v>
      </c>
    </row>
    <row r="43" spans="1:19" x14ac:dyDescent="0.25">
      <c r="A43" t="s">
        <v>45</v>
      </c>
      <c r="B43" s="14" t="s">
        <v>871</v>
      </c>
      <c r="C43" s="18" t="s">
        <v>834</v>
      </c>
      <c r="D43" s="18" t="s">
        <v>834</v>
      </c>
      <c r="E43" s="16" t="s">
        <v>787</v>
      </c>
      <c r="F43" s="16" t="str">
        <f t="shared" si="3"/>
        <v>05-17M-EA</v>
      </c>
      <c r="G43" s="16" t="b">
        <f t="shared" si="2"/>
        <v>1</v>
      </c>
      <c r="H43" s="16">
        <v>509</v>
      </c>
      <c r="I43">
        <v>-76.327675999999997</v>
      </c>
      <c r="J43">
        <v>42.834076000000003</v>
      </c>
      <c r="K43">
        <v>17</v>
      </c>
      <c r="L43" t="s">
        <v>362</v>
      </c>
      <c r="M43" t="s">
        <v>359</v>
      </c>
      <c r="N43">
        <v>1066</v>
      </c>
      <c r="O43">
        <v>507</v>
      </c>
      <c r="P43" s="14">
        <v>509</v>
      </c>
      <c r="Q43">
        <v>1</v>
      </c>
      <c r="R43" t="s">
        <v>352</v>
      </c>
      <c r="S43" t="s">
        <v>355</v>
      </c>
    </row>
    <row r="44" spans="1:19" x14ac:dyDescent="0.25">
      <c r="A44" t="s">
        <v>46</v>
      </c>
      <c r="B44" s="14" t="s">
        <v>872</v>
      </c>
      <c r="C44" s="18" t="s">
        <v>834</v>
      </c>
      <c r="D44" s="18" t="s">
        <v>834</v>
      </c>
      <c r="E44" s="16" t="s">
        <v>788</v>
      </c>
      <c r="F44" s="16" t="str">
        <f t="shared" si="3"/>
        <v>05-17M-WA</v>
      </c>
      <c r="G44" s="16" t="b">
        <f t="shared" si="2"/>
        <v>1</v>
      </c>
      <c r="H44" s="16">
        <v>408</v>
      </c>
      <c r="I44">
        <v>-76.346090000000004</v>
      </c>
      <c r="J44">
        <v>42.833731999999998</v>
      </c>
      <c r="K44">
        <v>17</v>
      </c>
      <c r="L44" t="s">
        <v>362</v>
      </c>
      <c r="M44" t="s">
        <v>359</v>
      </c>
      <c r="N44">
        <v>483</v>
      </c>
      <c r="O44">
        <v>359</v>
      </c>
      <c r="P44" s="14">
        <v>408</v>
      </c>
      <c r="Q44">
        <v>1</v>
      </c>
      <c r="R44" t="s">
        <v>352</v>
      </c>
      <c r="S44" t="s">
        <v>355</v>
      </c>
    </row>
    <row r="45" spans="1:19" x14ac:dyDescent="0.25">
      <c r="A45" t="s">
        <v>47</v>
      </c>
      <c r="E45" s="16"/>
      <c r="F45" s="16"/>
      <c r="G45" s="16" t="str">
        <f t="shared" si="2"/>
        <v/>
      </c>
      <c r="H45" s="16"/>
      <c r="I45">
        <v>-76.302087</v>
      </c>
      <c r="J45">
        <v>42.810057499999999</v>
      </c>
      <c r="K45">
        <v>2</v>
      </c>
      <c r="L45" t="s">
        <v>363</v>
      </c>
      <c r="M45" t="s">
        <v>359</v>
      </c>
      <c r="N45">
        <v>213</v>
      </c>
      <c r="O45">
        <v>0</v>
      </c>
      <c r="Q45">
        <v>0</v>
      </c>
      <c r="R45" t="s">
        <v>352</v>
      </c>
      <c r="S45" t="s">
        <v>356</v>
      </c>
    </row>
    <row r="46" spans="1:19" x14ac:dyDescent="0.25">
      <c r="A46" t="s">
        <v>48</v>
      </c>
      <c r="B46" s="14" t="s">
        <v>873</v>
      </c>
      <c r="E46" s="16" t="s">
        <v>789</v>
      </c>
      <c r="F46" s="16" t="str">
        <f t="shared" ref="F46:F72" si="4">UPPER(RIGHT(E46,9))</f>
        <v>06-02M-WA</v>
      </c>
      <c r="G46" s="16" t="b">
        <f t="shared" si="2"/>
        <v>1</v>
      </c>
      <c r="H46" s="16">
        <v>1</v>
      </c>
      <c r="I46">
        <v>-76.309866</v>
      </c>
      <c r="J46">
        <v>42.809066000000001</v>
      </c>
      <c r="K46">
        <v>2</v>
      </c>
      <c r="L46" t="s">
        <v>363</v>
      </c>
      <c r="M46" t="s">
        <v>359</v>
      </c>
      <c r="N46">
        <v>96</v>
      </c>
      <c r="O46">
        <v>0</v>
      </c>
      <c r="P46" s="14">
        <v>1</v>
      </c>
      <c r="Q46">
        <v>0</v>
      </c>
      <c r="R46" t="s">
        <v>352</v>
      </c>
      <c r="S46" t="s">
        <v>356</v>
      </c>
    </row>
    <row r="47" spans="1:19" x14ac:dyDescent="0.25">
      <c r="A47" t="s">
        <v>49</v>
      </c>
      <c r="B47" s="14" t="s">
        <v>874</v>
      </c>
      <c r="C47" s="18" t="s">
        <v>834</v>
      </c>
      <c r="D47" s="18" t="s">
        <v>834</v>
      </c>
      <c r="E47" s="16" t="s">
        <v>790</v>
      </c>
      <c r="F47" s="16" t="str">
        <f t="shared" si="4"/>
        <v>06-03M-EA</v>
      </c>
      <c r="G47" s="16" t="b">
        <f t="shared" si="2"/>
        <v>1</v>
      </c>
      <c r="H47" s="16">
        <v>21</v>
      </c>
      <c r="I47">
        <v>-76.294272000000007</v>
      </c>
      <c r="J47">
        <v>42.811194999999998</v>
      </c>
      <c r="K47">
        <v>3</v>
      </c>
      <c r="L47" t="s">
        <v>363</v>
      </c>
      <c r="M47" t="s">
        <v>359</v>
      </c>
      <c r="N47">
        <v>153</v>
      </c>
      <c r="O47">
        <v>48</v>
      </c>
      <c r="P47" s="14">
        <v>21</v>
      </c>
      <c r="Q47">
        <v>0</v>
      </c>
      <c r="R47" t="s">
        <v>352</v>
      </c>
      <c r="S47" t="s">
        <v>356</v>
      </c>
    </row>
    <row r="48" spans="1:19" x14ac:dyDescent="0.25">
      <c r="A48" t="s">
        <v>50</v>
      </c>
      <c r="B48" s="14" t="s">
        <v>875</v>
      </c>
      <c r="C48" s="18" t="s">
        <v>834</v>
      </c>
      <c r="D48" s="18" t="s">
        <v>834</v>
      </c>
      <c r="E48" s="16" t="s">
        <v>791</v>
      </c>
      <c r="F48" s="16" t="str">
        <f t="shared" si="4"/>
        <v>06-03M-WA</v>
      </c>
      <c r="G48" s="16" t="b">
        <f t="shared" si="2"/>
        <v>1</v>
      </c>
      <c r="H48" s="16">
        <v>9</v>
      </c>
      <c r="I48">
        <v>-76.309730500000001</v>
      </c>
      <c r="J48">
        <v>42.808940499999999</v>
      </c>
      <c r="K48">
        <v>3</v>
      </c>
      <c r="L48" t="s">
        <v>363</v>
      </c>
      <c r="M48" t="s">
        <v>359</v>
      </c>
      <c r="N48">
        <v>34</v>
      </c>
      <c r="O48">
        <v>61</v>
      </c>
      <c r="P48" s="14">
        <v>9</v>
      </c>
      <c r="Q48">
        <v>0</v>
      </c>
      <c r="R48" t="s">
        <v>352</v>
      </c>
      <c r="S48" t="s">
        <v>353</v>
      </c>
    </row>
    <row r="49" spans="1:19" x14ac:dyDescent="0.25">
      <c r="A49" t="s">
        <v>51</v>
      </c>
      <c r="B49" s="14" t="s">
        <v>876</v>
      </c>
      <c r="E49" s="16" t="s">
        <v>792</v>
      </c>
      <c r="F49" s="16" t="str">
        <f t="shared" si="4"/>
        <v>06-05M-EA</v>
      </c>
      <c r="G49" s="16" t="b">
        <f t="shared" si="2"/>
        <v>1</v>
      </c>
      <c r="H49" s="16">
        <v>1</v>
      </c>
      <c r="I49">
        <v>-76.294408000000004</v>
      </c>
      <c r="J49">
        <v>42.811129000000001</v>
      </c>
      <c r="K49">
        <v>5</v>
      </c>
      <c r="L49" t="s">
        <v>363</v>
      </c>
      <c r="M49" t="s">
        <v>359</v>
      </c>
      <c r="N49">
        <v>40</v>
      </c>
      <c r="O49">
        <v>6</v>
      </c>
      <c r="P49" s="14">
        <v>1</v>
      </c>
      <c r="Q49">
        <v>0</v>
      </c>
      <c r="R49" t="s">
        <v>352</v>
      </c>
      <c r="S49" t="s">
        <v>353</v>
      </c>
    </row>
    <row r="50" spans="1:19" x14ac:dyDescent="0.25">
      <c r="A50" t="s">
        <v>52</v>
      </c>
      <c r="B50" s="14" t="s">
        <v>877</v>
      </c>
      <c r="C50" s="18" t="s">
        <v>834</v>
      </c>
      <c r="D50" s="18" t="s">
        <v>834</v>
      </c>
      <c r="E50" s="16" t="s">
        <v>793</v>
      </c>
      <c r="F50" s="16" t="str">
        <f t="shared" si="4"/>
        <v>06-05M-WA</v>
      </c>
      <c r="G50" s="16" t="b">
        <f t="shared" si="2"/>
        <v>1</v>
      </c>
      <c r="H50" s="16">
        <v>398</v>
      </c>
      <c r="I50">
        <v>-76.309663999999998</v>
      </c>
      <c r="J50">
        <v>42.809136333333299</v>
      </c>
      <c r="K50">
        <v>5</v>
      </c>
      <c r="L50" t="s">
        <v>363</v>
      </c>
      <c r="M50" t="s">
        <v>359</v>
      </c>
      <c r="N50">
        <v>341</v>
      </c>
      <c r="O50">
        <v>331</v>
      </c>
      <c r="P50" s="14">
        <v>398</v>
      </c>
      <c r="Q50">
        <v>2</v>
      </c>
      <c r="R50" t="s">
        <v>352</v>
      </c>
      <c r="S50" t="s">
        <v>355</v>
      </c>
    </row>
    <row r="51" spans="1:19" x14ac:dyDescent="0.25">
      <c r="A51" t="s">
        <v>53</v>
      </c>
      <c r="B51" s="14" t="s">
        <v>878</v>
      </c>
      <c r="C51" s="18" t="s">
        <v>834</v>
      </c>
      <c r="D51" s="18" t="s">
        <v>834</v>
      </c>
      <c r="E51" s="16" t="s">
        <v>794</v>
      </c>
      <c r="F51" s="16" t="str">
        <f t="shared" si="4"/>
        <v>06-08M-EA</v>
      </c>
      <c r="G51" s="16" t="b">
        <f t="shared" si="2"/>
        <v>1</v>
      </c>
      <c r="H51" s="16">
        <v>44</v>
      </c>
      <c r="I51">
        <v>-76.294479999999993</v>
      </c>
      <c r="J51">
        <v>42.811017</v>
      </c>
      <c r="K51">
        <v>8</v>
      </c>
      <c r="L51" t="s">
        <v>363</v>
      </c>
      <c r="M51" t="s">
        <v>359</v>
      </c>
      <c r="N51">
        <v>151</v>
      </c>
      <c r="O51">
        <v>55</v>
      </c>
      <c r="P51" s="14">
        <v>44</v>
      </c>
      <c r="Q51">
        <v>0</v>
      </c>
      <c r="R51" t="s">
        <v>352</v>
      </c>
      <c r="S51" t="s">
        <v>353</v>
      </c>
    </row>
    <row r="52" spans="1:19" x14ac:dyDescent="0.25">
      <c r="A52" t="s">
        <v>54</v>
      </c>
      <c r="B52" s="14" t="s">
        <v>879</v>
      </c>
      <c r="C52" s="18" t="s">
        <v>834</v>
      </c>
      <c r="D52" s="18" t="s">
        <v>834</v>
      </c>
      <c r="E52" s="16" t="s">
        <v>795</v>
      </c>
      <c r="F52" s="16" t="str">
        <f t="shared" si="4"/>
        <v>06-08M-WA</v>
      </c>
      <c r="G52" s="16" t="b">
        <f t="shared" si="2"/>
        <v>1</v>
      </c>
      <c r="H52" s="16">
        <v>51</v>
      </c>
      <c r="I52">
        <v>-76.309595000000002</v>
      </c>
      <c r="J52">
        <v>42.809291000000002</v>
      </c>
      <c r="K52">
        <v>8</v>
      </c>
      <c r="L52" t="s">
        <v>363</v>
      </c>
      <c r="M52" t="s">
        <v>359</v>
      </c>
      <c r="N52">
        <v>174</v>
      </c>
      <c r="O52">
        <v>36</v>
      </c>
      <c r="P52" s="14">
        <v>51</v>
      </c>
      <c r="Q52">
        <v>0</v>
      </c>
      <c r="R52" t="s">
        <v>352</v>
      </c>
      <c r="S52" t="s">
        <v>356</v>
      </c>
    </row>
    <row r="53" spans="1:19" x14ac:dyDescent="0.25">
      <c r="A53" t="s">
        <v>55</v>
      </c>
      <c r="B53" s="14" t="s">
        <v>880</v>
      </c>
      <c r="C53" s="18" t="s">
        <v>834</v>
      </c>
      <c r="D53" s="18" t="s">
        <v>834</v>
      </c>
      <c r="E53" s="16" t="s">
        <v>796</v>
      </c>
      <c r="F53" s="16" t="str">
        <f t="shared" si="4"/>
        <v>06-11M-EA</v>
      </c>
      <c r="G53" s="16" t="b">
        <f t="shared" si="2"/>
        <v>1</v>
      </c>
      <c r="H53" s="16">
        <v>305</v>
      </c>
      <c r="I53">
        <v>-76.294551999999996</v>
      </c>
      <c r="J53">
        <v>42.810949999999998</v>
      </c>
      <c r="K53">
        <v>11</v>
      </c>
      <c r="L53" t="s">
        <v>363</v>
      </c>
      <c r="M53" t="s">
        <v>359</v>
      </c>
      <c r="N53">
        <v>480</v>
      </c>
      <c r="O53">
        <v>301</v>
      </c>
      <c r="P53" s="14">
        <v>305</v>
      </c>
      <c r="Q53">
        <v>2</v>
      </c>
      <c r="R53" t="s">
        <v>352</v>
      </c>
      <c r="S53" t="s">
        <v>355</v>
      </c>
    </row>
    <row r="54" spans="1:19" x14ac:dyDescent="0.25">
      <c r="A54" t="s">
        <v>57</v>
      </c>
      <c r="B54" s="14" t="s">
        <v>881</v>
      </c>
      <c r="C54" s="18" t="s">
        <v>834</v>
      </c>
      <c r="D54" s="18" t="s">
        <v>834</v>
      </c>
      <c r="E54" s="16" t="s">
        <v>797</v>
      </c>
      <c r="F54" s="16" t="str">
        <f t="shared" si="4"/>
        <v>06-14M-EA</v>
      </c>
      <c r="G54" s="16" t="b">
        <f t="shared" si="2"/>
        <v>1</v>
      </c>
      <c r="H54" s="16">
        <v>153</v>
      </c>
      <c r="I54">
        <v>-76.294614999999993</v>
      </c>
      <c r="J54">
        <v>42.810983999999998</v>
      </c>
      <c r="K54">
        <v>14</v>
      </c>
      <c r="L54" t="s">
        <v>363</v>
      </c>
      <c r="M54" t="s">
        <v>359</v>
      </c>
      <c r="N54">
        <v>518</v>
      </c>
      <c r="O54">
        <v>167</v>
      </c>
      <c r="P54" s="14">
        <v>153</v>
      </c>
      <c r="Q54">
        <v>1</v>
      </c>
      <c r="R54" t="s">
        <v>352</v>
      </c>
      <c r="S54" t="s">
        <v>355</v>
      </c>
    </row>
    <row r="55" spans="1:19" x14ac:dyDescent="0.25">
      <c r="A55" t="s">
        <v>58</v>
      </c>
      <c r="B55" s="14" t="s">
        <v>882</v>
      </c>
      <c r="C55" s="18" t="s">
        <v>834</v>
      </c>
      <c r="D55" s="18" t="s">
        <v>834</v>
      </c>
      <c r="E55" s="16" t="s">
        <v>798</v>
      </c>
      <c r="F55" s="16" t="str">
        <f t="shared" si="4"/>
        <v>06-17M-EA</v>
      </c>
      <c r="G55" s="16" t="b">
        <f t="shared" si="2"/>
        <v>1</v>
      </c>
      <c r="H55" s="16">
        <v>136</v>
      </c>
      <c r="I55">
        <v>-76.294678000000005</v>
      </c>
      <c r="J55">
        <v>42.810949999999998</v>
      </c>
      <c r="K55">
        <v>17</v>
      </c>
      <c r="L55" t="s">
        <v>363</v>
      </c>
      <c r="M55" t="s">
        <v>359</v>
      </c>
      <c r="N55">
        <v>93</v>
      </c>
      <c r="O55">
        <v>121</v>
      </c>
      <c r="P55" s="14">
        <v>136</v>
      </c>
      <c r="Q55">
        <v>1</v>
      </c>
      <c r="R55" t="s">
        <v>352</v>
      </c>
      <c r="S55" t="s">
        <v>355</v>
      </c>
    </row>
    <row r="56" spans="1:19" x14ac:dyDescent="0.25">
      <c r="A56" t="s">
        <v>59</v>
      </c>
      <c r="B56" s="14" t="s">
        <v>883</v>
      </c>
      <c r="E56" s="16" t="s">
        <v>799</v>
      </c>
      <c r="F56" s="16" t="str">
        <f t="shared" si="4"/>
        <v>08-01M-WA</v>
      </c>
      <c r="G56" s="16" t="b">
        <f t="shared" si="2"/>
        <v>1</v>
      </c>
      <c r="H56" s="16">
        <v>0</v>
      </c>
      <c r="I56">
        <v>-76.278733000000003</v>
      </c>
      <c r="J56">
        <v>42.772502000000003</v>
      </c>
      <c r="K56">
        <v>1</v>
      </c>
      <c r="L56" t="s">
        <v>364</v>
      </c>
      <c r="M56" t="s">
        <v>359</v>
      </c>
      <c r="N56">
        <v>35</v>
      </c>
      <c r="O56">
        <v>1</v>
      </c>
      <c r="P56" s="14">
        <v>0</v>
      </c>
      <c r="Q56">
        <v>0</v>
      </c>
      <c r="R56" t="s">
        <v>352</v>
      </c>
      <c r="S56" t="s">
        <v>356</v>
      </c>
    </row>
    <row r="57" spans="1:19" x14ac:dyDescent="0.25">
      <c r="A57" t="s">
        <v>60</v>
      </c>
      <c r="B57" s="14" t="s">
        <v>884</v>
      </c>
      <c r="C57" s="18" t="s">
        <v>834</v>
      </c>
      <c r="D57" s="18" t="s">
        <v>834</v>
      </c>
      <c r="E57" s="16" t="s">
        <v>800</v>
      </c>
      <c r="F57" s="16" t="str">
        <f t="shared" si="4"/>
        <v>08-01M-WB</v>
      </c>
      <c r="G57" s="16" t="b">
        <f t="shared" si="2"/>
        <v>1</v>
      </c>
      <c r="H57" s="16">
        <v>61</v>
      </c>
      <c r="I57">
        <v>-76.278733000000003</v>
      </c>
      <c r="J57">
        <v>42.772502000000003</v>
      </c>
      <c r="K57">
        <v>1</v>
      </c>
      <c r="L57" t="s">
        <v>364</v>
      </c>
      <c r="M57" t="s">
        <v>360</v>
      </c>
      <c r="N57">
        <v>31</v>
      </c>
      <c r="O57">
        <v>76</v>
      </c>
      <c r="P57" s="14">
        <v>61</v>
      </c>
      <c r="Q57">
        <v>1</v>
      </c>
      <c r="R57" t="s">
        <v>352</v>
      </c>
      <c r="S57" t="s">
        <v>355</v>
      </c>
    </row>
    <row r="58" spans="1:19" x14ac:dyDescent="0.25">
      <c r="A58" t="s">
        <v>61</v>
      </c>
      <c r="B58" s="14" t="s">
        <v>885</v>
      </c>
      <c r="E58" s="16" t="s">
        <v>801</v>
      </c>
      <c r="F58" s="16" t="str">
        <f t="shared" si="4"/>
        <v>08-02M-WA</v>
      </c>
      <c r="G58" s="16" t="b">
        <f t="shared" si="2"/>
        <v>1</v>
      </c>
      <c r="H58" s="16">
        <v>6</v>
      </c>
      <c r="I58">
        <v>-76.278706</v>
      </c>
      <c r="J58">
        <v>42.772680000000001</v>
      </c>
      <c r="K58">
        <v>2</v>
      </c>
      <c r="L58" t="s">
        <v>364</v>
      </c>
      <c r="M58" t="s">
        <v>359</v>
      </c>
      <c r="N58">
        <v>29</v>
      </c>
      <c r="O58">
        <v>17</v>
      </c>
      <c r="P58" s="14">
        <v>6</v>
      </c>
      <c r="Q58">
        <v>0</v>
      </c>
      <c r="R58" t="s">
        <v>352</v>
      </c>
      <c r="S58" t="s">
        <v>356</v>
      </c>
    </row>
    <row r="59" spans="1:19" x14ac:dyDescent="0.25">
      <c r="A59" t="s">
        <v>62</v>
      </c>
      <c r="B59" s="14" t="s">
        <v>886</v>
      </c>
      <c r="E59" s="16" t="s">
        <v>802</v>
      </c>
      <c r="F59" s="16" t="str">
        <f t="shared" si="4"/>
        <v>08-03M-WA</v>
      </c>
      <c r="G59" s="16" t="b">
        <f t="shared" si="2"/>
        <v>1</v>
      </c>
      <c r="H59" s="16">
        <v>0</v>
      </c>
      <c r="I59">
        <v>-76.278328000000002</v>
      </c>
      <c r="J59">
        <v>42.772382999999998</v>
      </c>
      <c r="K59">
        <v>3</v>
      </c>
      <c r="L59" t="s">
        <v>364</v>
      </c>
      <c r="M59" t="s">
        <v>359</v>
      </c>
      <c r="N59">
        <v>154</v>
      </c>
      <c r="O59">
        <v>0</v>
      </c>
      <c r="P59" s="14">
        <v>0</v>
      </c>
      <c r="Q59">
        <v>0</v>
      </c>
      <c r="R59" t="s">
        <v>352</v>
      </c>
      <c r="S59" t="s">
        <v>356</v>
      </c>
    </row>
    <row r="60" spans="1:19" x14ac:dyDescent="0.25">
      <c r="A60" t="s">
        <v>63</v>
      </c>
      <c r="B60" s="14" t="s">
        <v>887</v>
      </c>
      <c r="E60" s="16" t="s">
        <v>803</v>
      </c>
      <c r="F60" s="16" t="str">
        <f t="shared" si="4"/>
        <v>08-05M-EA</v>
      </c>
      <c r="G60" s="16" t="b">
        <f t="shared" si="2"/>
        <v>1</v>
      </c>
      <c r="H60" s="16">
        <v>0</v>
      </c>
      <c r="I60">
        <v>-76.275191000000007</v>
      </c>
      <c r="J60">
        <v>42.772297000000002</v>
      </c>
      <c r="K60">
        <v>5</v>
      </c>
      <c r="L60" t="s">
        <v>364</v>
      </c>
      <c r="M60" t="s">
        <v>359</v>
      </c>
      <c r="N60">
        <v>46</v>
      </c>
      <c r="O60">
        <v>0</v>
      </c>
      <c r="P60" s="14">
        <v>0</v>
      </c>
      <c r="Q60">
        <v>0</v>
      </c>
      <c r="R60" t="s">
        <v>352</v>
      </c>
      <c r="S60" t="s">
        <v>356</v>
      </c>
    </row>
    <row r="61" spans="1:19" x14ac:dyDescent="0.25">
      <c r="A61" t="s">
        <v>64</v>
      </c>
      <c r="B61" s="14" t="s">
        <v>888</v>
      </c>
      <c r="C61" s="18" t="s">
        <v>834</v>
      </c>
      <c r="D61" s="18" t="s">
        <v>834</v>
      </c>
      <c r="E61" s="16" t="s">
        <v>804</v>
      </c>
      <c r="F61" s="16" t="str">
        <f t="shared" si="4"/>
        <v>08-05M-EB</v>
      </c>
      <c r="G61" s="16" t="b">
        <f t="shared" si="2"/>
        <v>1</v>
      </c>
      <c r="H61" s="16">
        <v>4</v>
      </c>
      <c r="I61">
        <v>-76.275191000000007</v>
      </c>
      <c r="J61">
        <v>42.772297000000002</v>
      </c>
      <c r="K61">
        <v>5</v>
      </c>
      <c r="L61" t="s">
        <v>364</v>
      </c>
      <c r="M61" t="s">
        <v>360</v>
      </c>
      <c r="N61">
        <v>134</v>
      </c>
      <c r="O61">
        <v>8</v>
      </c>
      <c r="P61" s="14">
        <v>4</v>
      </c>
      <c r="Q61">
        <v>0</v>
      </c>
      <c r="R61" t="s">
        <v>352</v>
      </c>
      <c r="S61" t="s">
        <v>354</v>
      </c>
    </row>
    <row r="62" spans="1:19" x14ac:dyDescent="0.25">
      <c r="A62" t="s">
        <v>65</v>
      </c>
      <c r="B62" s="14" t="s">
        <v>889</v>
      </c>
      <c r="C62" s="18" t="s">
        <v>834</v>
      </c>
      <c r="D62" s="18" t="s">
        <v>834</v>
      </c>
      <c r="E62" s="16" t="s">
        <v>805</v>
      </c>
      <c r="F62" s="16" t="str">
        <f t="shared" si="4"/>
        <v>08-05M-WA</v>
      </c>
      <c r="G62" s="16" t="b">
        <f t="shared" si="2"/>
        <v>1</v>
      </c>
      <c r="H62" s="16">
        <v>67</v>
      </c>
      <c r="I62">
        <v>-76.275642000000005</v>
      </c>
      <c r="J62">
        <v>42.772171</v>
      </c>
      <c r="K62">
        <v>5</v>
      </c>
      <c r="L62" t="s">
        <v>364</v>
      </c>
      <c r="M62" t="s">
        <v>359</v>
      </c>
      <c r="N62">
        <v>216</v>
      </c>
      <c r="O62">
        <v>74</v>
      </c>
      <c r="P62" s="14">
        <v>67</v>
      </c>
      <c r="Q62">
        <v>1</v>
      </c>
      <c r="R62" t="s">
        <v>352</v>
      </c>
      <c r="S62" t="s">
        <v>353</v>
      </c>
    </row>
    <row r="63" spans="1:19" x14ac:dyDescent="0.25">
      <c r="A63" t="s">
        <v>66</v>
      </c>
      <c r="B63" s="14" t="s">
        <v>890</v>
      </c>
      <c r="C63" s="18" t="s">
        <v>834</v>
      </c>
      <c r="D63" s="18" t="s">
        <v>834</v>
      </c>
      <c r="E63" s="16" t="s">
        <v>806</v>
      </c>
      <c r="F63" s="16" t="str">
        <f t="shared" si="4"/>
        <v>08-05M-WB</v>
      </c>
      <c r="G63" s="16" t="b">
        <f t="shared" si="2"/>
        <v>1</v>
      </c>
      <c r="H63" s="16">
        <v>9</v>
      </c>
      <c r="I63">
        <v>-76.275642000000005</v>
      </c>
      <c r="J63">
        <v>42.772171</v>
      </c>
      <c r="K63">
        <v>5</v>
      </c>
      <c r="L63" t="s">
        <v>364</v>
      </c>
      <c r="M63" t="s">
        <v>360</v>
      </c>
      <c r="N63">
        <v>290</v>
      </c>
      <c r="O63">
        <v>6</v>
      </c>
      <c r="P63" s="14">
        <v>9</v>
      </c>
      <c r="Q63">
        <v>0</v>
      </c>
      <c r="R63" t="s">
        <v>352</v>
      </c>
      <c r="S63" t="s">
        <v>356</v>
      </c>
    </row>
    <row r="64" spans="1:19" x14ac:dyDescent="0.25">
      <c r="A64" t="s">
        <v>67</v>
      </c>
      <c r="B64" s="14" t="s">
        <v>891</v>
      </c>
      <c r="C64" s="18" t="s">
        <v>834</v>
      </c>
      <c r="D64" s="18" t="s">
        <v>834</v>
      </c>
      <c r="E64" s="16" t="s">
        <v>824</v>
      </c>
      <c r="F64" s="16" t="str">
        <f t="shared" si="4"/>
        <v>1B-01M-EA</v>
      </c>
      <c r="G64" s="16" t="b">
        <f t="shared" si="2"/>
        <v>1</v>
      </c>
      <c r="H64" s="16">
        <v>12</v>
      </c>
      <c r="I64">
        <v>-76.421757999999997</v>
      </c>
      <c r="J64">
        <v>42.942070000000001</v>
      </c>
      <c r="K64">
        <v>1</v>
      </c>
      <c r="L64" t="s">
        <v>365</v>
      </c>
      <c r="M64" t="s">
        <v>359</v>
      </c>
      <c r="N64">
        <v>5</v>
      </c>
      <c r="O64">
        <v>13</v>
      </c>
      <c r="P64" s="14">
        <v>12</v>
      </c>
      <c r="Q64">
        <v>0</v>
      </c>
      <c r="R64" t="s">
        <v>357</v>
      </c>
      <c r="S64" t="s">
        <v>355</v>
      </c>
    </row>
    <row r="65" spans="1:19" x14ac:dyDescent="0.25">
      <c r="A65" t="s">
        <v>68</v>
      </c>
      <c r="B65" s="14" t="s">
        <v>892</v>
      </c>
      <c r="C65" s="18" t="s">
        <v>834</v>
      </c>
      <c r="D65" s="18" t="s">
        <v>834</v>
      </c>
      <c r="E65" s="16" t="s">
        <v>825</v>
      </c>
      <c r="F65" s="16" t="str">
        <f t="shared" si="4"/>
        <v>1B-01M-EB</v>
      </c>
      <c r="G65" s="16" t="b">
        <f t="shared" si="2"/>
        <v>1</v>
      </c>
      <c r="H65" s="16">
        <v>9</v>
      </c>
      <c r="I65">
        <v>-76.421757999999997</v>
      </c>
      <c r="J65">
        <v>42.942070000000001</v>
      </c>
      <c r="K65">
        <v>1</v>
      </c>
      <c r="L65" t="s">
        <v>365</v>
      </c>
      <c r="M65" t="s">
        <v>360</v>
      </c>
      <c r="N65">
        <v>43</v>
      </c>
      <c r="O65">
        <v>8</v>
      </c>
      <c r="P65" s="14">
        <v>9</v>
      </c>
      <c r="Q65">
        <v>0</v>
      </c>
      <c r="R65" t="s">
        <v>357</v>
      </c>
      <c r="S65" t="s">
        <v>355</v>
      </c>
    </row>
    <row r="66" spans="1:19" x14ac:dyDescent="0.25">
      <c r="A66" t="s">
        <v>69</v>
      </c>
      <c r="B66" s="14" t="s">
        <v>893</v>
      </c>
      <c r="C66" s="18" t="s">
        <v>834</v>
      </c>
      <c r="D66" s="18" t="s">
        <v>834</v>
      </c>
      <c r="E66" s="16" t="s">
        <v>826</v>
      </c>
      <c r="F66" s="16" t="str">
        <f t="shared" si="4"/>
        <v>1B-02M-EA</v>
      </c>
      <c r="G66" s="16" t="b">
        <f t="shared" ref="G66:G97" si="5">IF(E66="","",F66=A66)</f>
        <v>1</v>
      </c>
      <c r="H66" s="16">
        <v>53</v>
      </c>
      <c r="I66">
        <v>-76.421947000000003</v>
      </c>
      <c r="J66">
        <v>42.941892000000003</v>
      </c>
      <c r="K66">
        <v>2</v>
      </c>
      <c r="L66" t="s">
        <v>365</v>
      </c>
      <c r="M66" t="s">
        <v>359</v>
      </c>
      <c r="N66">
        <v>157</v>
      </c>
      <c r="O66">
        <v>59</v>
      </c>
      <c r="P66" s="14">
        <v>53</v>
      </c>
      <c r="Q66">
        <v>0</v>
      </c>
      <c r="R66" t="s">
        <v>357</v>
      </c>
      <c r="S66" t="s">
        <v>354</v>
      </c>
    </row>
    <row r="67" spans="1:19" x14ac:dyDescent="0.25">
      <c r="A67" t="s">
        <v>70</v>
      </c>
      <c r="B67" s="14" t="s">
        <v>894</v>
      </c>
      <c r="C67" s="18" t="s">
        <v>834</v>
      </c>
      <c r="D67" s="18" t="s">
        <v>834</v>
      </c>
      <c r="E67" s="16" t="s">
        <v>827</v>
      </c>
      <c r="F67" s="16" t="str">
        <f t="shared" si="4"/>
        <v>1B-02M-EB</v>
      </c>
      <c r="G67" s="16" t="b">
        <f t="shared" si="5"/>
        <v>1</v>
      </c>
      <c r="H67" s="16">
        <v>29</v>
      </c>
      <c r="I67">
        <v>-76.421947000000003</v>
      </c>
      <c r="J67">
        <v>42.941892000000003</v>
      </c>
      <c r="K67">
        <v>2</v>
      </c>
      <c r="L67" t="s">
        <v>365</v>
      </c>
      <c r="M67" t="s">
        <v>360</v>
      </c>
      <c r="N67">
        <v>25</v>
      </c>
      <c r="O67">
        <v>31</v>
      </c>
      <c r="P67" s="14">
        <v>29</v>
      </c>
      <c r="Q67">
        <v>1</v>
      </c>
      <c r="R67" t="s">
        <v>357</v>
      </c>
      <c r="S67" t="s">
        <v>355</v>
      </c>
    </row>
    <row r="68" spans="1:19" x14ac:dyDescent="0.25">
      <c r="A68" t="s">
        <v>71</v>
      </c>
      <c r="B68" s="14" t="s">
        <v>895</v>
      </c>
      <c r="C68" s="18" t="s">
        <v>834</v>
      </c>
      <c r="D68" s="18" t="s">
        <v>834</v>
      </c>
      <c r="E68" s="16" t="s">
        <v>828</v>
      </c>
      <c r="F68" s="16" t="str">
        <f t="shared" si="4"/>
        <v>1B-03M-EA</v>
      </c>
      <c r="G68" s="16" t="b">
        <f t="shared" si="5"/>
        <v>1</v>
      </c>
      <c r="H68" s="16">
        <v>7</v>
      </c>
      <c r="I68">
        <v>-76.423767499999997</v>
      </c>
      <c r="J68">
        <v>42.941133000000001</v>
      </c>
      <c r="K68">
        <v>3</v>
      </c>
      <c r="L68" t="s">
        <v>365</v>
      </c>
      <c r="M68" t="s">
        <v>359</v>
      </c>
      <c r="N68">
        <v>125</v>
      </c>
      <c r="O68">
        <v>8</v>
      </c>
      <c r="P68" s="14">
        <v>7</v>
      </c>
      <c r="Q68">
        <v>0</v>
      </c>
      <c r="R68" t="s">
        <v>352</v>
      </c>
      <c r="S68" t="s">
        <v>354</v>
      </c>
    </row>
    <row r="69" spans="1:19" x14ac:dyDescent="0.25">
      <c r="A69" t="s">
        <v>72</v>
      </c>
      <c r="B69" s="14" t="s">
        <v>896</v>
      </c>
      <c r="C69" s="18" t="s">
        <v>834</v>
      </c>
      <c r="D69" s="18" t="s">
        <v>834</v>
      </c>
      <c r="E69" s="16" t="s">
        <v>829</v>
      </c>
      <c r="F69" s="16" t="str">
        <f t="shared" si="4"/>
        <v>1B-03M-EB</v>
      </c>
      <c r="G69" s="16" t="b">
        <f t="shared" si="5"/>
        <v>1</v>
      </c>
      <c r="H69" s="16">
        <v>35</v>
      </c>
      <c r="I69">
        <v>-76.422162999999998</v>
      </c>
      <c r="J69">
        <v>42.941760000000002</v>
      </c>
      <c r="K69">
        <v>3</v>
      </c>
      <c r="L69" t="s">
        <v>365</v>
      </c>
      <c r="M69" t="s">
        <v>360</v>
      </c>
      <c r="N69">
        <v>185</v>
      </c>
      <c r="O69">
        <v>31</v>
      </c>
      <c r="P69" s="14">
        <v>35</v>
      </c>
      <c r="Q69">
        <v>0</v>
      </c>
      <c r="R69" t="s">
        <v>352</v>
      </c>
      <c r="S69" t="s">
        <v>354</v>
      </c>
    </row>
    <row r="70" spans="1:19" x14ac:dyDescent="0.25">
      <c r="A70" t="s">
        <v>73</v>
      </c>
      <c r="B70" s="14" t="s">
        <v>897</v>
      </c>
      <c r="C70" s="18" t="s">
        <v>834</v>
      </c>
      <c r="D70" s="18" t="s">
        <v>834</v>
      </c>
      <c r="E70" s="16" t="s">
        <v>830</v>
      </c>
      <c r="F70" s="16" t="str">
        <f t="shared" si="4"/>
        <v>1B-03M-EC</v>
      </c>
      <c r="G70" s="16" t="b">
        <f t="shared" si="5"/>
        <v>1</v>
      </c>
      <c r="H70" s="16">
        <v>2</v>
      </c>
      <c r="I70">
        <v>-76.422162999999998</v>
      </c>
      <c r="J70">
        <v>42.941760000000002</v>
      </c>
      <c r="K70">
        <v>3</v>
      </c>
      <c r="L70" t="s">
        <v>365</v>
      </c>
      <c r="M70" t="s">
        <v>366</v>
      </c>
      <c r="N70">
        <v>18</v>
      </c>
      <c r="O70">
        <v>7</v>
      </c>
      <c r="P70" s="14">
        <v>2</v>
      </c>
      <c r="Q70">
        <v>0</v>
      </c>
      <c r="R70" t="s">
        <v>352</v>
      </c>
      <c r="S70" t="s">
        <v>353</v>
      </c>
    </row>
    <row r="71" spans="1:19" x14ac:dyDescent="0.25">
      <c r="A71" t="s">
        <v>75</v>
      </c>
      <c r="B71" s="14" t="s">
        <v>898</v>
      </c>
      <c r="C71" s="18" t="s">
        <v>834</v>
      </c>
      <c r="D71" s="18" t="s">
        <v>834</v>
      </c>
      <c r="E71" s="16" t="s">
        <v>812</v>
      </c>
      <c r="F71" s="16" t="str">
        <f t="shared" si="4"/>
        <v>Z1-03M-EA</v>
      </c>
      <c r="G71" s="16" t="b">
        <f t="shared" si="5"/>
        <v>1</v>
      </c>
      <c r="H71" s="16">
        <v>440</v>
      </c>
      <c r="I71">
        <v>-76.339309</v>
      </c>
      <c r="J71">
        <v>42.844890999999997</v>
      </c>
      <c r="K71">
        <v>3</v>
      </c>
      <c r="L71" t="s">
        <v>367</v>
      </c>
      <c r="M71" t="s">
        <v>359</v>
      </c>
      <c r="N71">
        <v>936</v>
      </c>
      <c r="O71">
        <v>400</v>
      </c>
      <c r="P71" s="14">
        <v>440</v>
      </c>
      <c r="Q71">
        <v>2</v>
      </c>
      <c r="R71" t="s">
        <v>352</v>
      </c>
      <c r="S71" t="s">
        <v>355</v>
      </c>
    </row>
    <row r="72" spans="1:19" x14ac:dyDescent="0.25">
      <c r="A72" t="s">
        <v>76</v>
      </c>
      <c r="B72" s="14" t="s">
        <v>899</v>
      </c>
      <c r="C72" s="18" t="s">
        <v>834</v>
      </c>
      <c r="D72" s="18" t="s">
        <v>834</v>
      </c>
      <c r="E72" s="16" t="s">
        <v>813</v>
      </c>
      <c r="F72" s="16" t="str">
        <f t="shared" si="4"/>
        <v>Z1-04M-EA</v>
      </c>
      <c r="G72" s="16" t="b">
        <f t="shared" si="5"/>
        <v>1</v>
      </c>
      <c r="H72" s="16">
        <v>357</v>
      </c>
      <c r="I72">
        <v>-76.339421999999999</v>
      </c>
      <c r="J72">
        <v>42.844769999999997</v>
      </c>
      <c r="K72">
        <v>4</v>
      </c>
      <c r="L72" t="s">
        <v>367</v>
      </c>
      <c r="M72" t="s">
        <v>359</v>
      </c>
      <c r="N72">
        <v>695</v>
      </c>
      <c r="O72">
        <v>238</v>
      </c>
      <c r="P72" s="14">
        <v>357</v>
      </c>
      <c r="Q72">
        <v>2</v>
      </c>
      <c r="R72" t="s">
        <v>352</v>
      </c>
      <c r="S72" t="s">
        <v>355</v>
      </c>
    </row>
    <row r="73" spans="1:19" x14ac:dyDescent="0.25">
      <c r="A73" t="s">
        <v>77</v>
      </c>
      <c r="B73" s="14" t="s">
        <v>900</v>
      </c>
      <c r="C73" s="18" t="s">
        <v>834</v>
      </c>
      <c r="D73" s="18" t="s">
        <v>834</v>
      </c>
      <c r="E73" s="16" t="s">
        <v>814</v>
      </c>
      <c r="F73" s="16" t="str">
        <f t="shared" ref="F73:F82" si="6">UPPER(RIGHT(E73,9))</f>
        <v>Z1-05M-EA</v>
      </c>
      <c r="G73" s="16" t="b">
        <f t="shared" si="5"/>
        <v>1</v>
      </c>
      <c r="H73" s="16">
        <v>288</v>
      </c>
      <c r="I73">
        <v>-76.339545000000001</v>
      </c>
      <c r="J73">
        <v>42.844698000000001</v>
      </c>
      <c r="K73">
        <v>5</v>
      </c>
      <c r="L73" t="s">
        <v>367</v>
      </c>
      <c r="M73" t="s">
        <v>359</v>
      </c>
      <c r="N73">
        <v>764</v>
      </c>
      <c r="O73">
        <v>263</v>
      </c>
      <c r="P73" s="14">
        <v>288</v>
      </c>
      <c r="Q73">
        <v>2</v>
      </c>
      <c r="R73" t="s">
        <v>352</v>
      </c>
      <c r="S73" t="s">
        <v>355</v>
      </c>
    </row>
    <row r="74" spans="1:19" x14ac:dyDescent="0.25">
      <c r="A74" t="s">
        <v>78</v>
      </c>
      <c r="B74" s="14" t="s">
        <v>901</v>
      </c>
      <c r="C74" s="18" t="s">
        <v>834</v>
      </c>
      <c r="D74" s="18" t="s">
        <v>834</v>
      </c>
      <c r="E74" s="16" t="s">
        <v>815</v>
      </c>
      <c r="F74" s="16" t="str">
        <f t="shared" si="6"/>
        <v>Z1-07M-EA</v>
      </c>
      <c r="G74" s="16" t="b">
        <f t="shared" si="5"/>
        <v>1</v>
      </c>
      <c r="H74" s="16">
        <v>408</v>
      </c>
      <c r="I74">
        <v>-76.339646000000002</v>
      </c>
      <c r="J74">
        <v>42.844630000000002</v>
      </c>
      <c r="K74">
        <v>7</v>
      </c>
      <c r="L74" t="s">
        <v>367</v>
      </c>
      <c r="M74" t="s">
        <v>359</v>
      </c>
      <c r="N74">
        <v>944</v>
      </c>
      <c r="O74">
        <v>409</v>
      </c>
      <c r="P74" s="14">
        <v>408</v>
      </c>
      <c r="Q74">
        <v>2</v>
      </c>
      <c r="R74" t="s">
        <v>352</v>
      </c>
      <c r="S74" t="s">
        <v>355</v>
      </c>
    </row>
    <row r="75" spans="1:19" x14ac:dyDescent="0.25">
      <c r="A75" t="s">
        <v>79</v>
      </c>
      <c r="B75" s="14" t="s">
        <v>902</v>
      </c>
      <c r="C75" s="18" t="s">
        <v>834</v>
      </c>
      <c r="D75" s="18" t="s">
        <v>834</v>
      </c>
      <c r="E75" s="16" t="s">
        <v>816</v>
      </c>
      <c r="F75" s="16" t="str">
        <f t="shared" si="6"/>
        <v>Z1-08M-EA</v>
      </c>
      <c r="G75" s="16" t="b">
        <f t="shared" si="5"/>
        <v>1</v>
      </c>
      <c r="H75" s="16">
        <v>247</v>
      </c>
      <c r="I75">
        <v>-76.339769000000004</v>
      </c>
      <c r="J75">
        <v>42.844562000000003</v>
      </c>
      <c r="K75">
        <v>8</v>
      </c>
      <c r="L75" t="s">
        <v>367</v>
      </c>
      <c r="M75" t="s">
        <v>359</v>
      </c>
      <c r="N75">
        <v>351</v>
      </c>
      <c r="O75">
        <v>357</v>
      </c>
      <c r="P75" s="14">
        <v>247</v>
      </c>
      <c r="Q75">
        <v>2</v>
      </c>
      <c r="R75" t="s">
        <v>352</v>
      </c>
      <c r="S75" t="s">
        <v>355</v>
      </c>
    </row>
    <row r="76" spans="1:19" x14ac:dyDescent="0.25">
      <c r="A76" t="s">
        <v>80</v>
      </c>
      <c r="B76" s="14" t="s">
        <v>903</v>
      </c>
      <c r="C76" s="18" t="s">
        <v>834</v>
      </c>
      <c r="D76" s="18" t="s">
        <v>834</v>
      </c>
      <c r="E76" s="16" t="s">
        <v>817</v>
      </c>
      <c r="F76" s="16" t="str">
        <f t="shared" si="6"/>
        <v>Z1-10M-EA</v>
      </c>
      <c r="G76" s="16" t="b">
        <f t="shared" si="5"/>
        <v>1</v>
      </c>
      <c r="H76" s="16">
        <v>466</v>
      </c>
      <c r="I76">
        <v>-76.339905000000002</v>
      </c>
      <c r="J76">
        <v>42.844484999999999</v>
      </c>
      <c r="K76">
        <v>10</v>
      </c>
      <c r="L76" t="s">
        <v>367</v>
      </c>
      <c r="M76" t="s">
        <v>359</v>
      </c>
      <c r="N76">
        <v>504</v>
      </c>
      <c r="O76">
        <v>455</v>
      </c>
      <c r="P76" s="14">
        <v>466</v>
      </c>
      <c r="Q76">
        <v>2</v>
      </c>
      <c r="R76" t="s">
        <v>352</v>
      </c>
      <c r="S76" t="s">
        <v>355</v>
      </c>
    </row>
    <row r="77" spans="1:19" x14ac:dyDescent="0.25">
      <c r="A77" t="s">
        <v>81</v>
      </c>
      <c r="B77" s="14" t="s">
        <v>904</v>
      </c>
      <c r="C77" s="18" t="s">
        <v>834</v>
      </c>
      <c r="D77" s="18" t="s">
        <v>834</v>
      </c>
      <c r="E77" s="16" t="s">
        <v>818</v>
      </c>
      <c r="F77" s="16" t="str">
        <f t="shared" si="6"/>
        <v>Z2-08M-EA</v>
      </c>
      <c r="G77" s="16" t="b">
        <f t="shared" si="5"/>
        <v>1</v>
      </c>
      <c r="H77" s="16">
        <v>423</v>
      </c>
      <c r="I77">
        <v>-76.339264</v>
      </c>
      <c r="J77">
        <v>42.844025000000002</v>
      </c>
      <c r="K77">
        <v>8</v>
      </c>
      <c r="L77" t="s">
        <v>368</v>
      </c>
      <c r="M77" t="s">
        <v>359</v>
      </c>
      <c r="N77">
        <v>581</v>
      </c>
      <c r="O77">
        <v>389</v>
      </c>
      <c r="P77" s="14">
        <v>423</v>
      </c>
      <c r="Q77">
        <v>2</v>
      </c>
      <c r="R77" t="s">
        <v>352</v>
      </c>
      <c r="S77" t="s">
        <v>355</v>
      </c>
    </row>
    <row r="78" spans="1:19" x14ac:dyDescent="0.25">
      <c r="A78" t="s">
        <v>82</v>
      </c>
      <c r="B78" s="14" t="s">
        <v>905</v>
      </c>
      <c r="C78" s="18" t="s">
        <v>834</v>
      </c>
      <c r="D78" s="18" t="s">
        <v>834</v>
      </c>
      <c r="E78" s="16" t="s">
        <v>819</v>
      </c>
      <c r="F78" s="16" t="str">
        <f t="shared" si="6"/>
        <v>Z2-09M-EA</v>
      </c>
      <c r="G78" s="16" t="b">
        <f t="shared" si="5"/>
        <v>1</v>
      </c>
      <c r="H78" s="16">
        <v>391</v>
      </c>
      <c r="I78">
        <v>-76.339420000000004</v>
      </c>
      <c r="J78">
        <v>42.843927000000001</v>
      </c>
      <c r="K78">
        <v>9</v>
      </c>
      <c r="L78" t="s">
        <v>368</v>
      </c>
      <c r="M78" t="s">
        <v>359</v>
      </c>
      <c r="N78">
        <v>988</v>
      </c>
      <c r="O78">
        <v>366</v>
      </c>
      <c r="P78" s="14">
        <v>391</v>
      </c>
      <c r="Q78">
        <v>2</v>
      </c>
      <c r="R78" t="s">
        <v>352</v>
      </c>
      <c r="S78" t="s">
        <v>355</v>
      </c>
    </row>
    <row r="79" spans="1:19" x14ac:dyDescent="0.25">
      <c r="A79" t="s">
        <v>83</v>
      </c>
      <c r="B79" s="14" t="s">
        <v>906</v>
      </c>
      <c r="C79" s="18" t="s">
        <v>834</v>
      </c>
      <c r="D79" s="18" t="s">
        <v>834</v>
      </c>
      <c r="E79" s="16" t="s">
        <v>820</v>
      </c>
      <c r="F79" s="16" t="str">
        <f t="shared" si="6"/>
        <v>Z2-10M-EA</v>
      </c>
      <c r="G79" s="16" t="b">
        <f t="shared" si="5"/>
        <v>1</v>
      </c>
      <c r="H79" s="16">
        <v>639</v>
      </c>
      <c r="I79">
        <v>-76.339583000000005</v>
      </c>
      <c r="J79">
        <v>42.843837000000001</v>
      </c>
      <c r="K79">
        <v>10</v>
      </c>
      <c r="L79" t="s">
        <v>368</v>
      </c>
      <c r="M79" t="s">
        <v>359</v>
      </c>
      <c r="N79">
        <v>1030</v>
      </c>
      <c r="O79">
        <v>536</v>
      </c>
      <c r="P79" s="14">
        <v>639</v>
      </c>
      <c r="Q79">
        <v>2</v>
      </c>
      <c r="R79" t="s">
        <v>352</v>
      </c>
      <c r="S79" t="s">
        <v>355</v>
      </c>
    </row>
    <row r="80" spans="1:19" x14ac:dyDescent="0.25">
      <c r="A80" t="s">
        <v>84</v>
      </c>
      <c r="B80" s="14" t="s">
        <v>907</v>
      </c>
      <c r="C80" s="18" t="s">
        <v>834</v>
      </c>
      <c r="D80" s="18" t="s">
        <v>834</v>
      </c>
      <c r="E80" s="16" t="s">
        <v>821</v>
      </c>
      <c r="F80" s="16" t="str">
        <f t="shared" si="6"/>
        <v>Z2-10M-EB</v>
      </c>
      <c r="G80" s="16" t="b">
        <f t="shared" si="5"/>
        <v>1</v>
      </c>
      <c r="H80" s="16">
        <v>503</v>
      </c>
      <c r="I80">
        <v>-76.339583000000005</v>
      </c>
      <c r="J80">
        <v>42.843837000000001</v>
      </c>
      <c r="K80">
        <v>10</v>
      </c>
      <c r="L80" t="s">
        <v>368</v>
      </c>
      <c r="M80" t="s">
        <v>360</v>
      </c>
      <c r="N80">
        <v>843</v>
      </c>
      <c r="O80">
        <v>456</v>
      </c>
      <c r="P80" s="14">
        <v>503</v>
      </c>
      <c r="Q80">
        <v>2</v>
      </c>
      <c r="R80" t="s">
        <v>352</v>
      </c>
      <c r="S80" t="s">
        <v>355</v>
      </c>
    </row>
    <row r="81" spans="1:19" x14ac:dyDescent="0.25">
      <c r="A81" t="s">
        <v>85</v>
      </c>
      <c r="B81" s="14" t="s">
        <v>908</v>
      </c>
      <c r="C81" s="18" t="s">
        <v>834</v>
      </c>
      <c r="D81" s="18" t="s">
        <v>834</v>
      </c>
      <c r="E81" s="16" t="s">
        <v>822</v>
      </c>
      <c r="F81" s="16" t="str">
        <f t="shared" si="6"/>
        <v>Z2-11M-EA</v>
      </c>
      <c r="G81" s="16" t="b">
        <f t="shared" si="5"/>
        <v>1</v>
      </c>
      <c r="H81" s="16">
        <v>529</v>
      </c>
      <c r="I81">
        <v>-76.339121000000006</v>
      </c>
      <c r="J81">
        <v>42.844273000000001</v>
      </c>
      <c r="K81">
        <v>11</v>
      </c>
      <c r="L81" t="s">
        <v>368</v>
      </c>
      <c r="M81" t="s">
        <v>359</v>
      </c>
      <c r="N81">
        <v>743</v>
      </c>
      <c r="O81">
        <v>504</v>
      </c>
      <c r="P81" s="14">
        <v>529</v>
      </c>
      <c r="Q81">
        <v>2</v>
      </c>
      <c r="R81" t="s">
        <v>352</v>
      </c>
      <c r="S81" t="s">
        <v>355</v>
      </c>
    </row>
    <row r="82" spans="1:19" x14ac:dyDescent="0.25">
      <c r="A82" t="s">
        <v>86</v>
      </c>
      <c r="B82" s="14" t="s">
        <v>909</v>
      </c>
      <c r="C82" s="18" t="s">
        <v>834</v>
      </c>
      <c r="D82" s="18" t="s">
        <v>834</v>
      </c>
      <c r="E82" s="16" t="s">
        <v>823</v>
      </c>
      <c r="F82" s="16" t="str">
        <f t="shared" si="6"/>
        <v>Z2-12M-EA</v>
      </c>
      <c r="G82" s="16" t="b">
        <f t="shared" si="5"/>
        <v>1</v>
      </c>
      <c r="H82" s="16">
        <v>441</v>
      </c>
      <c r="I82">
        <v>-76.339678000000006</v>
      </c>
      <c r="J82">
        <v>42.843781999999997</v>
      </c>
      <c r="K82">
        <v>12</v>
      </c>
      <c r="L82" t="s">
        <v>368</v>
      </c>
      <c r="M82" t="s">
        <v>359</v>
      </c>
      <c r="N82">
        <v>736</v>
      </c>
      <c r="O82">
        <v>399</v>
      </c>
      <c r="P82" s="14">
        <v>441</v>
      </c>
      <c r="Q82">
        <v>2</v>
      </c>
      <c r="R82" t="s">
        <v>352</v>
      </c>
      <c r="S82" t="s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59"/>
  <sheetViews>
    <sheetView tabSelected="1" zoomScale="130" zoomScaleNormal="13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1.42578125" bestFit="1" customWidth="1"/>
    <col min="2" max="2" width="18.42578125" style="15" bestFit="1" customWidth="1"/>
    <col min="3" max="4" width="18.42578125" style="15" customWidth="1"/>
    <col min="5" max="5" width="41.5703125" style="15" bestFit="1" customWidth="1"/>
    <col min="9" max="9" width="17.42578125" bestFit="1" customWidth="1"/>
    <col min="10" max="10" width="20.140625" bestFit="1" customWidth="1"/>
    <col min="11" max="11" width="20.140625" style="14" customWidth="1"/>
    <col min="12" max="12" width="20.85546875" bestFit="1" customWidth="1"/>
    <col min="13" max="13" width="24.140625" bestFit="1" customWidth="1"/>
    <col min="14" max="14" width="6.85546875" bestFit="1" customWidth="1"/>
  </cols>
  <sheetData>
    <row r="1" spans="1:16" x14ac:dyDescent="0.25">
      <c r="A1" t="s">
        <v>0</v>
      </c>
      <c r="B1" s="14" t="s">
        <v>1092</v>
      </c>
      <c r="C1" s="19" t="s">
        <v>1110</v>
      </c>
      <c r="D1" s="19" t="s">
        <v>1111</v>
      </c>
      <c r="E1" s="14" t="s">
        <v>1101</v>
      </c>
      <c r="F1" t="s">
        <v>383</v>
      </c>
      <c r="G1" t="s">
        <v>382</v>
      </c>
      <c r="H1" t="s">
        <v>341</v>
      </c>
      <c r="I1" t="s">
        <v>343</v>
      </c>
      <c r="J1" t="s">
        <v>342</v>
      </c>
      <c r="K1" t="s">
        <v>831</v>
      </c>
      <c r="L1" s="14" t="s">
        <v>832</v>
      </c>
      <c r="M1" t="s">
        <v>347</v>
      </c>
      <c r="N1" t="s">
        <v>350</v>
      </c>
      <c r="O1" t="s">
        <v>351</v>
      </c>
      <c r="P1" t="s">
        <v>3</v>
      </c>
    </row>
    <row r="2" spans="1:16" x14ac:dyDescent="0.25">
      <c r="A2" t="s">
        <v>248</v>
      </c>
      <c r="B2" s="14" t="s">
        <v>910</v>
      </c>
      <c r="C2" s="19">
        <v>0</v>
      </c>
      <c r="D2" s="19"/>
      <c r="E2" s="19"/>
      <c r="F2">
        <v>-76.427786999999995</v>
      </c>
      <c r="G2">
        <v>42.920411000000001</v>
      </c>
      <c r="H2">
        <v>1</v>
      </c>
      <c r="I2" t="s">
        <v>369</v>
      </c>
      <c r="J2" t="s">
        <v>359</v>
      </c>
      <c r="K2">
        <v>104</v>
      </c>
      <c r="L2" s="16">
        <v>87</v>
      </c>
      <c r="M2">
        <v>2</v>
      </c>
      <c r="N2" t="s">
        <v>357</v>
      </c>
      <c r="O2" t="s">
        <v>355</v>
      </c>
    </row>
    <row r="3" spans="1:16" x14ac:dyDescent="0.25">
      <c r="A3" t="s">
        <v>249</v>
      </c>
      <c r="B3" s="14" t="s">
        <v>911</v>
      </c>
      <c r="C3" s="19">
        <v>0</v>
      </c>
      <c r="D3" s="19"/>
      <c r="E3" s="19"/>
      <c r="F3">
        <v>-76.427786999999995</v>
      </c>
      <c r="G3">
        <v>42.920411000000001</v>
      </c>
      <c r="H3">
        <v>1</v>
      </c>
      <c r="I3" t="s">
        <v>369</v>
      </c>
      <c r="J3" t="s">
        <v>360</v>
      </c>
      <c r="K3">
        <v>105</v>
      </c>
      <c r="L3" s="16">
        <v>101</v>
      </c>
      <c r="M3">
        <v>2</v>
      </c>
      <c r="N3" t="s">
        <v>357</v>
      </c>
      <c r="O3" t="s">
        <v>355</v>
      </c>
    </row>
    <row r="4" spans="1:16" x14ac:dyDescent="0.25">
      <c r="A4" t="s">
        <v>250</v>
      </c>
      <c r="B4" s="14" t="s">
        <v>912</v>
      </c>
      <c r="C4" s="19">
        <v>0</v>
      </c>
      <c r="D4" s="19"/>
      <c r="E4" s="19"/>
      <c r="F4">
        <v>-76.427786999999995</v>
      </c>
      <c r="G4">
        <v>42.920411000000001</v>
      </c>
      <c r="H4">
        <v>1</v>
      </c>
      <c r="I4" t="s">
        <v>369</v>
      </c>
      <c r="J4" t="s">
        <v>366</v>
      </c>
      <c r="K4">
        <v>184</v>
      </c>
      <c r="L4" s="16">
        <v>173</v>
      </c>
      <c r="M4">
        <v>2</v>
      </c>
      <c r="N4" t="s">
        <v>357</v>
      </c>
      <c r="O4" t="s">
        <v>355</v>
      </c>
    </row>
    <row r="5" spans="1:16" hidden="1" x14ac:dyDescent="0.25">
      <c r="A5" t="s">
        <v>87</v>
      </c>
      <c r="B5" s="14" t="s">
        <v>913</v>
      </c>
      <c r="C5" s="19"/>
      <c r="D5" s="19"/>
      <c r="E5" s="19"/>
      <c r="F5">
        <v>-76.406976</v>
      </c>
      <c r="G5">
        <v>42.922662000000003</v>
      </c>
      <c r="H5">
        <v>2</v>
      </c>
      <c r="I5" t="s">
        <v>369</v>
      </c>
      <c r="J5" t="s">
        <v>359</v>
      </c>
      <c r="K5">
        <v>231</v>
      </c>
      <c r="L5" s="16">
        <v>287</v>
      </c>
      <c r="M5">
        <v>2</v>
      </c>
      <c r="N5" t="s">
        <v>357</v>
      </c>
      <c r="O5" t="s">
        <v>355</v>
      </c>
      <c r="P5">
        <v>16</v>
      </c>
    </row>
    <row r="6" spans="1:16" x14ac:dyDescent="0.25">
      <c r="A6" t="s">
        <v>251</v>
      </c>
      <c r="B6" s="14" t="s">
        <v>914</v>
      </c>
      <c r="C6" s="19">
        <v>0</v>
      </c>
      <c r="D6" s="19"/>
      <c r="E6" s="19"/>
      <c r="F6">
        <v>-76.406976</v>
      </c>
      <c r="G6">
        <v>42.922662000000003</v>
      </c>
      <c r="H6">
        <v>2</v>
      </c>
      <c r="I6" t="s">
        <v>369</v>
      </c>
      <c r="J6" t="s">
        <v>360</v>
      </c>
      <c r="K6">
        <v>131</v>
      </c>
      <c r="L6" s="16">
        <v>109</v>
      </c>
      <c r="M6">
        <v>1</v>
      </c>
      <c r="N6" t="s">
        <v>357</v>
      </c>
      <c r="O6" t="s">
        <v>354</v>
      </c>
    </row>
    <row r="7" spans="1:16" hidden="1" x14ac:dyDescent="0.25">
      <c r="A7" t="s">
        <v>88</v>
      </c>
      <c r="B7" s="14"/>
      <c r="C7" s="19"/>
      <c r="D7" s="19"/>
      <c r="E7" s="19" t="s">
        <v>1102</v>
      </c>
      <c r="F7">
        <v>-76.427498999999997</v>
      </c>
      <c r="G7">
        <v>42.920397999999999</v>
      </c>
      <c r="H7">
        <v>2</v>
      </c>
      <c r="I7" t="s">
        <v>369</v>
      </c>
      <c r="J7" t="s">
        <v>359</v>
      </c>
      <c r="K7">
        <v>0</v>
      </c>
      <c r="L7" s="16"/>
      <c r="M7">
        <v>0</v>
      </c>
      <c r="N7" t="s">
        <v>352</v>
      </c>
      <c r="O7" t="s">
        <v>356</v>
      </c>
      <c r="P7">
        <v>140</v>
      </c>
    </row>
    <row r="8" spans="1:16" hidden="1" x14ac:dyDescent="0.25">
      <c r="A8" t="s">
        <v>317</v>
      </c>
      <c r="B8" s="14"/>
      <c r="C8" s="19"/>
      <c r="D8" s="19"/>
      <c r="E8" s="19" t="s">
        <v>1102</v>
      </c>
      <c r="F8">
        <v>-76.427498999999997</v>
      </c>
      <c r="G8">
        <v>42.920397999999999</v>
      </c>
      <c r="H8">
        <v>2</v>
      </c>
      <c r="I8" t="s">
        <v>369</v>
      </c>
      <c r="J8" t="s">
        <v>360</v>
      </c>
      <c r="K8">
        <v>0</v>
      </c>
      <c r="L8" s="16"/>
      <c r="M8">
        <v>0</v>
      </c>
      <c r="N8" t="s">
        <v>352</v>
      </c>
      <c r="O8" t="s">
        <v>378</v>
      </c>
    </row>
    <row r="9" spans="1:16" hidden="1" x14ac:dyDescent="0.25">
      <c r="A9" t="s">
        <v>318</v>
      </c>
      <c r="B9" s="14" t="s">
        <v>915</v>
      </c>
      <c r="C9" s="19"/>
      <c r="D9" s="19"/>
      <c r="E9" s="19"/>
      <c r="F9">
        <v>-76.410066999999998</v>
      </c>
      <c r="G9">
        <v>42.922925999999997</v>
      </c>
      <c r="H9">
        <v>3</v>
      </c>
      <c r="I9" t="s">
        <v>369</v>
      </c>
      <c r="J9" t="s">
        <v>359</v>
      </c>
      <c r="K9">
        <v>86</v>
      </c>
      <c r="L9" s="16">
        <v>76</v>
      </c>
      <c r="M9">
        <v>0</v>
      </c>
      <c r="N9" t="s">
        <v>352</v>
      </c>
      <c r="O9" t="s">
        <v>353</v>
      </c>
    </row>
    <row r="10" spans="1:16" hidden="1" x14ac:dyDescent="0.25">
      <c r="A10" t="s">
        <v>252</v>
      </c>
      <c r="B10" s="14" t="s">
        <v>916</v>
      </c>
      <c r="C10" s="19"/>
      <c r="D10" s="19"/>
      <c r="E10" s="19"/>
      <c r="F10">
        <v>-76.410066999999998</v>
      </c>
      <c r="G10">
        <v>42.922925999999997</v>
      </c>
      <c r="H10">
        <v>3</v>
      </c>
      <c r="I10" t="s">
        <v>369</v>
      </c>
      <c r="J10" t="s">
        <v>360</v>
      </c>
      <c r="K10">
        <v>91</v>
      </c>
      <c r="L10" s="16">
        <v>99</v>
      </c>
      <c r="M10">
        <v>0</v>
      </c>
      <c r="N10" t="s">
        <v>352</v>
      </c>
      <c r="O10" t="s">
        <v>354</v>
      </c>
    </row>
    <row r="11" spans="1:16" hidden="1" x14ac:dyDescent="0.25">
      <c r="A11" t="s">
        <v>89</v>
      </c>
      <c r="B11" s="14" t="s">
        <v>917</v>
      </c>
      <c r="C11" s="19"/>
      <c r="D11" s="19"/>
      <c r="E11" s="19"/>
      <c r="F11">
        <v>-76.427256</v>
      </c>
      <c r="G11">
        <v>42.920575999999997</v>
      </c>
      <c r="H11">
        <v>3</v>
      </c>
      <c r="I11" t="s">
        <v>369</v>
      </c>
      <c r="J11" t="s">
        <v>359</v>
      </c>
      <c r="K11">
        <v>56</v>
      </c>
      <c r="L11" s="16">
        <v>36</v>
      </c>
      <c r="M11">
        <v>0</v>
      </c>
      <c r="N11" t="s">
        <v>352</v>
      </c>
      <c r="O11" t="s">
        <v>353</v>
      </c>
      <c r="P11">
        <v>31</v>
      </c>
    </row>
    <row r="12" spans="1:16" hidden="1" x14ac:dyDescent="0.25">
      <c r="A12" t="s">
        <v>319</v>
      </c>
      <c r="B12" s="14" t="s">
        <v>918</v>
      </c>
      <c r="C12" s="19"/>
      <c r="D12" s="19"/>
      <c r="E12" s="19"/>
      <c r="F12">
        <v>-76.427256</v>
      </c>
      <c r="G12">
        <v>42.920575999999997</v>
      </c>
      <c r="H12">
        <v>3</v>
      </c>
      <c r="I12" t="s">
        <v>369</v>
      </c>
      <c r="J12" t="s">
        <v>360</v>
      </c>
      <c r="K12">
        <v>54</v>
      </c>
      <c r="L12" s="16">
        <v>58</v>
      </c>
      <c r="M12">
        <v>0</v>
      </c>
      <c r="N12" t="s">
        <v>352</v>
      </c>
      <c r="O12" t="s">
        <v>353</v>
      </c>
    </row>
    <row r="13" spans="1:16" hidden="1" x14ac:dyDescent="0.25">
      <c r="A13" t="s">
        <v>253</v>
      </c>
      <c r="B13" s="14" t="s">
        <v>919</v>
      </c>
      <c r="C13" s="19"/>
      <c r="D13" s="19"/>
      <c r="E13" s="19"/>
      <c r="F13">
        <v>-76.413158999999993</v>
      </c>
      <c r="G13">
        <v>42.922714999999997</v>
      </c>
      <c r="H13">
        <v>5</v>
      </c>
      <c r="I13" t="s">
        <v>369</v>
      </c>
      <c r="J13" t="s">
        <v>359</v>
      </c>
      <c r="K13">
        <v>221</v>
      </c>
      <c r="L13" s="16">
        <v>64</v>
      </c>
      <c r="M13">
        <v>1</v>
      </c>
      <c r="N13" t="s">
        <v>352</v>
      </c>
      <c r="O13" t="s">
        <v>355</v>
      </c>
    </row>
    <row r="14" spans="1:16" hidden="1" x14ac:dyDescent="0.25">
      <c r="A14" t="s">
        <v>254</v>
      </c>
      <c r="B14" s="14" t="s">
        <v>920</v>
      </c>
      <c r="C14" s="19"/>
      <c r="D14" s="19"/>
      <c r="E14" s="19"/>
      <c r="F14">
        <v>-76.413158999999993</v>
      </c>
      <c r="G14">
        <v>42.922714999999997</v>
      </c>
      <c r="H14">
        <v>5</v>
      </c>
      <c r="I14" t="s">
        <v>369</v>
      </c>
      <c r="J14" t="s">
        <v>360</v>
      </c>
      <c r="K14">
        <v>44</v>
      </c>
      <c r="L14" s="16">
        <v>296</v>
      </c>
      <c r="M14">
        <v>1</v>
      </c>
      <c r="N14" t="s">
        <v>352</v>
      </c>
      <c r="O14" t="s">
        <v>355</v>
      </c>
    </row>
    <row r="15" spans="1:16" hidden="1" x14ac:dyDescent="0.25">
      <c r="A15" t="s">
        <v>255</v>
      </c>
      <c r="B15" s="14" t="s">
        <v>921</v>
      </c>
      <c r="C15" s="19"/>
      <c r="D15" s="19"/>
      <c r="E15" s="19"/>
      <c r="F15">
        <v>-76.413158999999993</v>
      </c>
      <c r="G15">
        <v>42.922714999999997</v>
      </c>
      <c r="H15">
        <v>5</v>
      </c>
      <c r="I15" t="s">
        <v>369</v>
      </c>
      <c r="J15" t="s">
        <v>366</v>
      </c>
      <c r="K15">
        <v>41</v>
      </c>
      <c r="L15" s="16">
        <v>46</v>
      </c>
      <c r="M15">
        <v>0</v>
      </c>
      <c r="N15" t="s">
        <v>352</v>
      </c>
      <c r="O15" t="s">
        <v>356</v>
      </c>
    </row>
    <row r="16" spans="1:16" hidden="1" x14ac:dyDescent="0.25">
      <c r="A16" t="s">
        <v>256</v>
      </c>
      <c r="B16" s="14" t="s">
        <v>922</v>
      </c>
      <c r="C16" s="19"/>
      <c r="D16" s="19"/>
      <c r="E16" s="19"/>
      <c r="F16">
        <v>-76.413158999999993</v>
      </c>
      <c r="G16">
        <v>42.922714999999997</v>
      </c>
      <c r="H16">
        <v>5</v>
      </c>
      <c r="I16" t="s">
        <v>369</v>
      </c>
      <c r="J16" t="s">
        <v>370</v>
      </c>
      <c r="K16">
        <v>342</v>
      </c>
      <c r="L16" s="16">
        <v>336</v>
      </c>
      <c r="M16">
        <v>1</v>
      </c>
      <c r="N16" t="s">
        <v>352</v>
      </c>
      <c r="O16" t="s">
        <v>355</v>
      </c>
    </row>
    <row r="17" spans="1:16" hidden="1" x14ac:dyDescent="0.25">
      <c r="A17" t="s">
        <v>90</v>
      </c>
      <c r="B17" s="14"/>
      <c r="C17" s="19"/>
      <c r="D17" s="19"/>
      <c r="E17" s="19" t="s">
        <v>1102</v>
      </c>
      <c r="F17">
        <v>-76.426877000000005</v>
      </c>
      <c r="G17">
        <v>42.920867000000001</v>
      </c>
      <c r="H17">
        <v>5</v>
      </c>
      <c r="I17" t="s">
        <v>369</v>
      </c>
      <c r="J17" t="s">
        <v>359</v>
      </c>
      <c r="K17">
        <v>0</v>
      </c>
      <c r="L17" s="16"/>
      <c r="M17">
        <v>0</v>
      </c>
      <c r="N17" t="s">
        <v>352</v>
      </c>
      <c r="O17" t="s">
        <v>356</v>
      </c>
      <c r="P17">
        <v>600</v>
      </c>
    </row>
    <row r="18" spans="1:16" hidden="1" x14ac:dyDescent="0.25">
      <c r="A18" t="s">
        <v>320</v>
      </c>
      <c r="B18" s="14"/>
      <c r="C18" s="19"/>
      <c r="D18" s="19"/>
      <c r="E18" s="19" t="s">
        <v>1102</v>
      </c>
      <c r="F18">
        <v>-76.426877000000005</v>
      </c>
      <c r="G18">
        <v>42.920867000000001</v>
      </c>
      <c r="H18">
        <v>5</v>
      </c>
      <c r="I18" t="s">
        <v>369</v>
      </c>
      <c r="J18" t="s">
        <v>360</v>
      </c>
      <c r="K18">
        <v>0</v>
      </c>
      <c r="L18" s="16"/>
      <c r="M18">
        <v>1</v>
      </c>
      <c r="N18" t="s">
        <v>352</v>
      </c>
      <c r="O18" t="s">
        <v>378</v>
      </c>
    </row>
    <row r="19" spans="1:16" hidden="1" x14ac:dyDescent="0.25">
      <c r="A19" t="s">
        <v>91</v>
      </c>
      <c r="B19" s="14"/>
      <c r="C19" s="19"/>
      <c r="D19" s="19"/>
      <c r="E19" s="19" t="s">
        <v>1102</v>
      </c>
      <c r="F19">
        <v>-76.413816999999995</v>
      </c>
      <c r="G19">
        <v>42.922899000000001</v>
      </c>
      <c r="H19">
        <v>8</v>
      </c>
      <c r="I19" t="s">
        <v>369</v>
      </c>
      <c r="J19" t="s">
        <v>359</v>
      </c>
      <c r="K19">
        <v>0</v>
      </c>
      <c r="L19" s="16"/>
      <c r="M19">
        <v>0</v>
      </c>
      <c r="N19" t="s">
        <v>352</v>
      </c>
      <c r="O19" t="s">
        <v>356</v>
      </c>
      <c r="P19">
        <v>996</v>
      </c>
    </row>
    <row r="20" spans="1:16" hidden="1" x14ac:dyDescent="0.25">
      <c r="A20" t="s">
        <v>321</v>
      </c>
      <c r="B20" s="14"/>
      <c r="C20" s="19"/>
      <c r="D20" s="19"/>
      <c r="E20" s="19" t="s">
        <v>1102</v>
      </c>
      <c r="F20">
        <v>-76.413816999999995</v>
      </c>
      <c r="G20">
        <v>42.922899000000001</v>
      </c>
      <c r="H20">
        <v>8</v>
      </c>
      <c r="I20" t="s">
        <v>369</v>
      </c>
      <c r="J20" t="s">
        <v>360</v>
      </c>
      <c r="K20">
        <v>0</v>
      </c>
      <c r="L20" s="16"/>
      <c r="M20">
        <v>0</v>
      </c>
      <c r="N20" t="s">
        <v>352</v>
      </c>
      <c r="O20" t="s">
        <v>378</v>
      </c>
    </row>
    <row r="21" spans="1:16" hidden="1" x14ac:dyDescent="0.25">
      <c r="A21" t="s">
        <v>92</v>
      </c>
      <c r="B21" s="14" t="s">
        <v>923</v>
      </c>
      <c r="C21" s="19"/>
      <c r="D21" s="19"/>
      <c r="E21" s="19"/>
      <c r="F21">
        <v>-76.426507999999998</v>
      </c>
      <c r="G21">
        <v>42.921123999999999</v>
      </c>
      <c r="H21">
        <v>8</v>
      </c>
      <c r="I21" t="s">
        <v>369</v>
      </c>
      <c r="J21" t="s">
        <v>359</v>
      </c>
      <c r="K21">
        <v>192</v>
      </c>
      <c r="L21" s="16">
        <v>183</v>
      </c>
      <c r="M21">
        <v>1</v>
      </c>
      <c r="N21" t="s">
        <v>352</v>
      </c>
      <c r="O21" t="s">
        <v>355</v>
      </c>
      <c r="P21">
        <v>145</v>
      </c>
    </row>
    <row r="22" spans="1:16" hidden="1" x14ac:dyDescent="0.25">
      <c r="A22" t="s">
        <v>257</v>
      </c>
      <c r="B22" s="14" t="s">
        <v>924</v>
      </c>
      <c r="C22" s="19"/>
      <c r="D22" s="19"/>
      <c r="E22" s="19"/>
      <c r="F22">
        <v>-76.426507999999998</v>
      </c>
      <c r="G22">
        <v>42.921123999999999</v>
      </c>
      <c r="H22">
        <v>8</v>
      </c>
      <c r="I22" t="s">
        <v>369</v>
      </c>
      <c r="J22" t="s">
        <v>360</v>
      </c>
      <c r="K22">
        <v>99</v>
      </c>
      <c r="L22" s="16">
        <v>61</v>
      </c>
      <c r="M22">
        <v>1</v>
      </c>
      <c r="N22" t="s">
        <v>352</v>
      </c>
      <c r="O22" t="s">
        <v>355</v>
      </c>
    </row>
    <row r="23" spans="1:16" hidden="1" x14ac:dyDescent="0.25">
      <c r="A23" t="s">
        <v>93</v>
      </c>
      <c r="B23" s="14"/>
      <c r="C23" s="19"/>
      <c r="D23" s="19"/>
      <c r="E23" s="19" t="s">
        <v>1102</v>
      </c>
      <c r="F23">
        <v>-76.424533999999994</v>
      </c>
      <c r="G23">
        <v>42.922286</v>
      </c>
      <c r="H23">
        <v>10</v>
      </c>
      <c r="I23" t="s">
        <v>369</v>
      </c>
      <c r="J23" t="s">
        <v>359</v>
      </c>
      <c r="K23">
        <v>0</v>
      </c>
      <c r="L23" s="16"/>
      <c r="M23">
        <v>0</v>
      </c>
      <c r="N23" t="s">
        <v>352</v>
      </c>
      <c r="O23" t="s">
        <v>356</v>
      </c>
      <c r="P23">
        <v>175</v>
      </c>
    </row>
    <row r="24" spans="1:16" hidden="1" x14ac:dyDescent="0.25">
      <c r="A24" t="s">
        <v>322</v>
      </c>
      <c r="B24" s="14"/>
      <c r="C24" s="19"/>
      <c r="D24" s="19"/>
      <c r="E24" s="19" t="s">
        <v>1102</v>
      </c>
      <c r="F24">
        <v>-76.424533999999994</v>
      </c>
      <c r="G24">
        <v>42.922286</v>
      </c>
      <c r="H24">
        <v>10</v>
      </c>
      <c r="I24" t="s">
        <v>369</v>
      </c>
      <c r="J24" t="s">
        <v>360</v>
      </c>
      <c r="K24">
        <v>0</v>
      </c>
      <c r="L24" s="16"/>
      <c r="M24">
        <v>0</v>
      </c>
      <c r="N24" t="s">
        <v>352</v>
      </c>
      <c r="O24" t="s">
        <v>378</v>
      </c>
    </row>
    <row r="25" spans="1:16" hidden="1" x14ac:dyDescent="0.25">
      <c r="A25" t="s">
        <v>94</v>
      </c>
      <c r="B25" s="14" t="s">
        <v>925</v>
      </c>
      <c r="C25" s="19" t="s">
        <v>834</v>
      </c>
      <c r="D25" s="19"/>
      <c r="E25" s="19"/>
      <c r="F25">
        <v>-76.414015000000006</v>
      </c>
      <c r="G25">
        <v>42.922820000000002</v>
      </c>
      <c r="H25">
        <v>11</v>
      </c>
      <c r="I25" t="s">
        <v>369</v>
      </c>
      <c r="J25" t="s">
        <v>359</v>
      </c>
      <c r="K25">
        <v>142</v>
      </c>
      <c r="L25" s="16">
        <v>127</v>
      </c>
      <c r="M25">
        <v>1</v>
      </c>
      <c r="N25" t="s">
        <v>352</v>
      </c>
      <c r="O25" t="s">
        <v>355</v>
      </c>
      <c r="P25">
        <v>89</v>
      </c>
    </row>
    <row r="26" spans="1:16" hidden="1" x14ac:dyDescent="0.25">
      <c r="A26" t="s">
        <v>323</v>
      </c>
      <c r="B26" s="14" t="s">
        <v>926</v>
      </c>
      <c r="C26" s="19" t="s">
        <v>834</v>
      </c>
      <c r="D26" s="19"/>
      <c r="E26" s="19"/>
      <c r="F26">
        <v>-76.414015000000006</v>
      </c>
      <c r="G26">
        <v>42.922820000000002</v>
      </c>
      <c r="H26">
        <v>11</v>
      </c>
      <c r="I26" t="s">
        <v>369</v>
      </c>
      <c r="J26" t="s">
        <v>360</v>
      </c>
      <c r="K26">
        <v>39</v>
      </c>
      <c r="L26" s="16">
        <v>30</v>
      </c>
      <c r="M26">
        <v>1</v>
      </c>
      <c r="N26" t="s">
        <v>352</v>
      </c>
      <c r="O26" t="s">
        <v>355</v>
      </c>
    </row>
    <row r="27" spans="1:16" hidden="1" x14ac:dyDescent="0.25">
      <c r="A27" t="s">
        <v>95</v>
      </c>
      <c r="B27" s="14" t="s">
        <v>927</v>
      </c>
      <c r="C27" s="19"/>
      <c r="D27" s="19"/>
      <c r="E27" s="19"/>
      <c r="F27">
        <v>-76.414357999999993</v>
      </c>
      <c r="G27">
        <v>42.922820000000002</v>
      </c>
      <c r="H27">
        <v>14</v>
      </c>
      <c r="I27" t="s">
        <v>369</v>
      </c>
      <c r="J27" t="s">
        <v>359</v>
      </c>
      <c r="K27">
        <v>17</v>
      </c>
      <c r="L27" s="16">
        <v>14</v>
      </c>
      <c r="M27">
        <v>0</v>
      </c>
      <c r="N27" t="s">
        <v>352</v>
      </c>
      <c r="O27" t="s">
        <v>356</v>
      </c>
      <c r="P27">
        <v>61</v>
      </c>
    </row>
    <row r="28" spans="1:16" hidden="1" x14ac:dyDescent="0.25">
      <c r="A28" t="s">
        <v>324</v>
      </c>
      <c r="B28" s="14" t="s">
        <v>928</v>
      </c>
      <c r="C28" s="19"/>
      <c r="D28" s="19"/>
      <c r="E28" s="19"/>
      <c r="F28">
        <v>-76.414357999999993</v>
      </c>
      <c r="G28">
        <v>42.922820000000002</v>
      </c>
      <c r="H28">
        <v>14</v>
      </c>
      <c r="I28" t="s">
        <v>369</v>
      </c>
      <c r="J28" t="s">
        <v>360</v>
      </c>
      <c r="K28">
        <v>42</v>
      </c>
      <c r="L28" s="16">
        <v>28</v>
      </c>
      <c r="M28">
        <v>0</v>
      </c>
      <c r="N28" t="s">
        <v>352</v>
      </c>
      <c r="O28" t="s">
        <v>354</v>
      </c>
    </row>
    <row r="29" spans="1:16" hidden="1" x14ac:dyDescent="0.25">
      <c r="A29" t="s">
        <v>96</v>
      </c>
      <c r="B29" s="14" t="s">
        <v>929</v>
      </c>
      <c r="C29" s="19" t="s">
        <v>834</v>
      </c>
      <c r="D29" s="19"/>
      <c r="E29" s="19"/>
      <c r="F29">
        <v>-76.420936999999995</v>
      </c>
      <c r="G29">
        <v>42.922873000000003</v>
      </c>
      <c r="H29">
        <v>14</v>
      </c>
      <c r="I29" t="s">
        <v>369</v>
      </c>
      <c r="J29" t="s">
        <v>359</v>
      </c>
      <c r="K29">
        <v>182</v>
      </c>
      <c r="L29" s="16">
        <v>221</v>
      </c>
      <c r="M29">
        <v>2</v>
      </c>
      <c r="N29" t="s">
        <v>352</v>
      </c>
      <c r="O29" t="s">
        <v>355</v>
      </c>
      <c r="P29">
        <v>226</v>
      </c>
    </row>
    <row r="30" spans="1:16" hidden="1" x14ac:dyDescent="0.25">
      <c r="A30" t="s">
        <v>258</v>
      </c>
      <c r="B30" s="14" t="s">
        <v>930</v>
      </c>
      <c r="C30" s="19" t="s">
        <v>834</v>
      </c>
      <c r="D30" s="19"/>
      <c r="E30" s="19"/>
      <c r="F30">
        <v>-76.420936999999995</v>
      </c>
      <c r="G30">
        <v>42.922873000000003</v>
      </c>
      <c r="H30">
        <v>14</v>
      </c>
      <c r="I30" t="s">
        <v>369</v>
      </c>
      <c r="J30" t="s">
        <v>360</v>
      </c>
      <c r="K30">
        <v>204</v>
      </c>
      <c r="L30" s="16">
        <v>261</v>
      </c>
      <c r="M30">
        <v>2</v>
      </c>
      <c r="N30" t="s">
        <v>352</v>
      </c>
      <c r="O30" t="s">
        <v>355</v>
      </c>
    </row>
    <row r="31" spans="1:16" hidden="1" x14ac:dyDescent="0.25">
      <c r="A31" t="s">
        <v>97</v>
      </c>
      <c r="B31" s="14" t="s">
        <v>931</v>
      </c>
      <c r="C31" s="19" t="s">
        <v>834</v>
      </c>
      <c r="D31" s="19"/>
      <c r="E31" s="19"/>
      <c r="F31">
        <v>-76.414799000000002</v>
      </c>
      <c r="G31">
        <v>42.923077999999997</v>
      </c>
      <c r="H31">
        <v>17</v>
      </c>
      <c r="I31" t="s">
        <v>369</v>
      </c>
      <c r="J31" t="s">
        <v>359</v>
      </c>
      <c r="K31">
        <v>209</v>
      </c>
      <c r="L31" s="16">
        <v>237</v>
      </c>
      <c r="M31">
        <v>2</v>
      </c>
      <c r="N31" t="s">
        <v>352</v>
      </c>
      <c r="O31" t="s">
        <v>355</v>
      </c>
      <c r="P31">
        <v>38</v>
      </c>
    </row>
    <row r="32" spans="1:16" hidden="1" x14ac:dyDescent="0.25">
      <c r="A32" t="s">
        <v>259</v>
      </c>
      <c r="B32" s="14" t="s">
        <v>932</v>
      </c>
      <c r="C32" s="19" t="s">
        <v>834</v>
      </c>
      <c r="D32" s="19"/>
      <c r="E32" s="19"/>
      <c r="F32">
        <v>-76.414799000000002</v>
      </c>
      <c r="G32">
        <v>42.923077999999997</v>
      </c>
      <c r="H32">
        <v>17</v>
      </c>
      <c r="I32" t="s">
        <v>369</v>
      </c>
      <c r="J32" t="s">
        <v>360</v>
      </c>
      <c r="K32">
        <v>332</v>
      </c>
      <c r="L32" s="16">
        <v>394</v>
      </c>
      <c r="M32">
        <v>2</v>
      </c>
      <c r="N32" t="s">
        <v>352</v>
      </c>
      <c r="O32" t="s">
        <v>355</v>
      </c>
    </row>
    <row r="33" spans="1:16" hidden="1" x14ac:dyDescent="0.25">
      <c r="A33" t="s">
        <v>98</v>
      </c>
      <c r="B33" s="14" t="s">
        <v>933</v>
      </c>
      <c r="C33" s="19" t="s">
        <v>834</v>
      </c>
      <c r="D33" s="19"/>
      <c r="E33" s="19"/>
      <c r="F33">
        <v>-76.420468999999997</v>
      </c>
      <c r="G33">
        <v>42.922832999999997</v>
      </c>
      <c r="H33">
        <v>17</v>
      </c>
      <c r="I33" t="s">
        <v>369</v>
      </c>
      <c r="J33" t="s">
        <v>359</v>
      </c>
      <c r="K33">
        <v>159</v>
      </c>
      <c r="L33" s="16">
        <v>209</v>
      </c>
      <c r="M33">
        <v>2</v>
      </c>
      <c r="N33" t="s">
        <v>352</v>
      </c>
      <c r="O33" t="s">
        <v>355</v>
      </c>
      <c r="P33">
        <v>112</v>
      </c>
    </row>
    <row r="34" spans="1:16" hidden="1" x14ac:dyDescent="0.25">
      <c r="A34" t="s">
        <v>260</v>
      </c>
      <c r="B34" s="14" t="s">
        <v>934</v>
      </c>
      <c r="C34" s="19" t="s">
        <v>834</v>
      </c>
      <c r="D34" s="19"/>
      <c r="E34" s="19"/>
      <c r="F34">
        <v>-76.420468999999997</v>
      </c>
      <c r="G34">
        <v>42.922832999999997</v>
      </c>
      <c r="H34">
        <v>17</v>
      </c>
      <c r="I34" t="s">
        <v>369</v>
      </c>
      <c r="J34" t="s">
        <v>360</v>
      </c>
      <c r="K34">
        <v>113</v>
      </c>
      <c r="L34" s="16">
        <v>124</v>
      </c>
      <c r="M34">
        <v>1</v>
      </c>
      <c r="N34" t="s">
        <v>352</v>
      </c>
      <c r="O34" t="s">
        <v>355</v>
      </c>
    </row>
    <row r="35" spans="1:16" hidden="1" x14ac:dyDescent="0.25">
      <c r="A35" t="s">
        <v>99</v>
      </c>
      <c r="B35" s="14" t="s">
        <v>935</v>
      </c>
      <c r="C35" s="19" t="s">
        <v>834</v>
      </c>
      <c r="D35" s="19"/>
      <c r="E35" s="19"/>
      <c r="F35">
        <v>-76.415925999999999</v>
      </c>
      <c r="G35">
        <v>42.922840000000001</v>
      </c>
      <c r="H35">
        <v>21</v>
      </c>
      <c r="I35" t="s">
        <v>369</v>
      </c>
      <c r="J35" t="s">
        <v>359</v>
      </c>
      <c r="K35">
        <v>172</v>
      </c>
      <c r="L35" s="16">
        <v>224</v>
      </c>
      <c r="M35">
        <v>2</v>
      </c>
      <c r="N35" t="s">
        <v>352</v>
      </c>
      <c r="O35" t="s">
        <v>355</v>
      </c>
      <c r="P35">
        <v>237</v>
      </c>
    </row>
    <row r="36" spans="1:16" hidden="1" x14ac:dyDescent="0.25">
      <c r="A36" t="s">
        <v>261</v>
      </c>
      <c r="B36" s="14" t="s">
        <v>936</v>
      </c>
      <c r="C36" s="19" t="s">
        <v>834</v>
      </c>
      <c r="D36" s="19"/>
      <c r="E36" s="19"/>
      <c r="F36">
        <v>-76.415925999999999</v>
      </c>
      <c r="G36">
        <v>42.922840000000001</v>
      </c>
      <c r="H36">
        <v>21</v>
      </c>
      <c r="I36" t="s">
        <v>369</v>
      </c>
      <c r="J36" t="s">
        <v>360</v>
      </c>
      <c r="K36">
        <v>135</v>
      </c>
      <c r="L36" s="16">
        <v>145</v>
      </c>
      <c r="M36">
        <v>2</v>
      </c>
      <c r="N36" t="s">
        <v>352</v>
      </c>
      <c r="O36" t="s">
        <v>355</v>
      </c>
    </row>
    <row r="37" spans="1:16" hidden="1" x14ac:dyDescent="0.25">
      <c r="A37" t="s">
        <v>100</v>
      </c>
      <c r="B37" s="14" t="s">
        <v>937</v>
      </c>
      <c r="C37" s="19" t="s">
        <v>834</v>
      </c>
      <c r="D37" s="19"/>
      <c r="E37" s="19"/>
      <c r="F37">
        <v>-76.418719999999993</v>
      </c>
      <c r="G37">
        <v>42.922800000000002</v>
      </c>
      <c r="H37">
        <v>24</v>
      </c>
      <c r="I37" t="s">
        <v>369</v>
      </c>
      <c r="J37" t="s">
        <v>359</v>
      </c>
      <c r="K37">
        <v>239</v>
      </c>
      <c r="L37" s="16">
        <v>251</v>
      </c>
      <c r="M37">
        <v>2</v>
      </c>
      <c r="N37" t="s">
        <v>352</v>
      </c>
      <c r="O37" t="s">
        <v>355</v>
      </c>
      <c r="P37">
        <v>124</v>
      </c>
    </row>
    <row r="38" spans="1:16" hidden="1" x14ac:dyDescent="0.25">
      <c r="A38" t="s">
        <v>262</v>
      </c>
      <c r="B38" s="14" t="s">
        <v>938</v>
      </c>
      <c r="C38" s="19" t="s">
        <v>834</v>
      </c>
      <c r="D38" s="19"/>
      <c r="E38" s="19"/>
      <c r="F38">
        <v>-76.418719999999993</v>
      </c>
      <c r="G38">
        <v>42.922800000000002</v>
      </c>
      <c r="H38">
        <v>24</v>
      </c>
      <c r="I38" t="s">
        <v>369</v>
      </c>
      <c r="J38" t="s">
        <v>360</v>
      </c>
      <c r="K38">
        <v>295</v>
      </c>
      <c r="L38" s="16">
        <v>318</v>
      </c>
      <c r="M38">
        <v>2</v>
      </c>
      <c r="N38" t="s">
        <v>352</v>
      </c>
      <c r="O38" t="s">
        <v>355</v>
      </c>
    </row>
    <row r="39" spans="1:16" hidden="1" x14ac:dyDescent="0.25">
      <c r="A39" t="s">
        <v>12</v>
      </c>
      <c r="B39" s="14"/>
      <c r="C39" s="19"/>
      <c r="D39" s="19"/>
      <c r="E39" s="19" t="s">
        <v>1102</v>
      </c>
      <c r="F39">
        <v>-76.346198000000001</v>
      </c>
      <c r="G39">
        <v>42.833731999999998</v>
      </c>
      <c r="H39">
        <v>2</v>
      </c>
      <c r="I39" t="s">
        <v>361</v>
      </c>
      <c r="J39" t="s">
        <v>359</v>
      </c>
      <c r="K39">
        <v>0</v>
      </c>
      <c r="L39" s="16"/>
      <c r="M39">
        <v>2</v>
      </c>
      <c r="N39" t="s">
        <v>352</v>
      </c>
      <c r="O39" t="s">
        <v>356</v>
      </c>
      <c r="P39">
        <v>9</v>
      </c>
    </row>
    <row r="40" spans="1:16" hidden="1" x14ac:dyDescent="0.25">
      <c r="A40" t="s">
        <v>13</v>
      </c>
      <c r="B40" s="14"/>
      <c r="C40" s="19"/>
      <c r="D40" s="19"/>
      <c r="E40" s="19" t="s">
        <v>1102</v>
      </c>
      <c r="F40">
        <v>-76.346108000000001</v>
      </c>
      <c r="G40">
        <v>42.833632999999999</v>
      </c>
      <c r="H40">
        <v>2</v>
      </c>
      <c r="I40" t="s">
        <v>361</v>
      </c>
      <c r="J40" t="s">
        <v>360</v>
      </c>
      <c r="K40">
        <v>0</v>
      </c>
      <c r="L40" s="16"/>
      <c r="M40">
        <v>2</v>
      </c>
      <c r="N40" t="s">
        <v>352</v>
      </c>
      <c r="O40" t="s">
        <v>356</v>
      </c>
    </row>
    <row r="41" spans="1:16" hidden="1" x14ac:dyDescent="0.25">
      <c r="A41" t="s">
        <v>15</v>
      </c>
      <c r="B41" s="14"/>
      <c r="C41" s="19"/>
      <c r="D41" s="19"/>
      <c r="E41" s="19" t="s">
        <v>1102</v>
      </c>
      <c r="F41">
        <v>-76.346090000000004</v>
      </c>
      <c r="G41">
        <v>42.833731999999998</v>
      </c>
      <c r="H41">
        <v>3</v>
      </c>
      <c r="I41" t="s">
        <v>361</v>
      </c>
      <c r="J41" t="s">
        <v>359</v>
      </c>
      <c r="K41">
        <v>0</v>
      </c>
      <c r="L41" s="16"/>
      <c r="M41">
        <v>2</v>
      </c>
      <c r="N41" t="s">
        <v>352</v>
      </c>
      <c r="O41" t="s">
        <v>356</v>
      </c>
      <c r="P41">
        <v>75</v>
      </c>
    </row>
    <row r="42" spans="1:16" hidden="1" x14ac:dyDescent="0.25">
      <c r="A42" t="s">
        <v>16</v>
      </c>
      <c r="B42" s="14"/>
      <c r="C42" s="19"/>
      <c r="D42" s="19"/>
      <c r="E42" s="19" t="s">
        <v>1102</v>
      </c>
      <c r="F42">
        <v>-76.412357</v>
      </c>
      <c r="G42">
        <v>42.894993999999997</v>
      </c>
      <c r="H42">
        <v>3</v>
      </c>
      <c r="I42" t="s">
        <v>361</v>
      </c>
      <c r="J42" t="s">
        <v>360</v>
      </c>
      <c r="K42">
        <v>0</v>
      </c>
      <c r="L42" s="16"/>
      <c r="M42">
        <v>0</v>
      </c>
      <c r="N42" t="s">
        <v>352</v>
      </c>
      <c r="O42" t="s">
        <v>356</v>
      </c>
    </row>
    <row r="43" spans="1:16" hidden="1" x14ac:dyDescent="0.25">
      <c r="A43" t="s">
        <v>19</v>
      </c>
      <c r="B43" s="14"/>
      <c r="C43" s="19"/>
      <c r="D43" s="19"/>
      <c r="E43" s="19" t="s">
        <v>1103</v>
      </c>
      <c r="F43">
        <v>-76.411861000000002</v>
      </c>
      <c r="G43">
        <v>42.894782999999997</v>
      </c>
      <c r="H43">
        <v>5</v>
      </c>
      <c r="I43" t="s">
        <v>361</v>
      </c>
      <c r="J43" t="s">
        <v>359</v>
      </c>
      <c r="K43">
        <v>0</v>
      </c>
      <c r="L43" s="16"/>
      <c r="M43">
        <v>1</v>
      </c>
      <c r="N43" t="s">
        <v>352</v>
      </c>
      <c r="O43" t="s">
        <v>355</v>
      </c>
      <c r="P43">
        <v>779</v>
      </c>
    </row>
    <row r="44" spans="1:16" hidden="1" x14ac:dyDescent="0.25">
      <c r="A44" t="s">
        <v>20</v>
      </c>
      <c r="B44" s="14"/>
      <c r="C44" s="19"/>
      <c r="D44" s="19"/>
      <c r="E44" s="19" t="s">
        <v>1103</v>
      </c>
      <c r="F44">
        <v>-76.411921000000007</v>
      </c>
      <c r="G44">
        <v>42.894919333333299</v>
      </c>
      <c r="H44">
        <v>5</v>
      </c>
      <c r="I44" t="s">
        <v>361</v>
      </c>
      <c r="J44" t="s">
        <v>360</v>
      </c>
      <c r="K44">
        <v>0</v>
      </c>
      <c r="L44" s="16"/>
      <c r="M44">
        <v>0</v>
      </c>
      <c r="N44" t="s">
        <v>352</v>
      </c>
      <c r="O44" t="s">
        <v>355</v>
      </c>
    </row>
    <row r="45" spans="1:16" hidden="1" x14ac:dyDescent="0.25">
      <c r="A45" t="s">
        <v>101</v>
      </c>
      <c r="B45" s="14" t="s">
        <v>939</v>
      </c>
      <c r="C45" s="19"/>
      <c r="D45" s="19"/>
      <c r="E45" s="19"/>
      <c r="F45">
        <v>-76.411888000000005</v>
      </c>
      <c r="G45">
        <v>42.895125999999998</v>
      </c>
      <c r="H45">
        <v>7</v>
      </c>
      <c r="I45" t="s">
        <v>361</v>
      </c>
      <c r="J45" t="s">
        <v>359</v>
      </c>
      <c r="K45">
        <v>68</v>
      </c>
      <c r="L45" s="16">
        <v>72</v>
      </c>
      <c r="M45">
        <v>0</v>
      </c>
      <c r="N45" t="s">
        <v>352</v>
      </c>
      <c r="O45" t="s">
        <v>354</v>
      </c>
      <c r="P45">
        <v>590</v>
      </c>
    </row>
    <row r="46" spans="1:16" hidden="1" x14ac:dyDescent="0.25">
      <c r="A46" t="s">
        <v>325</v>
      </c>
      <c r="B46" s="14" t="s">
        <v>1093</v>
      </c>
      <c r="C46" s="19"/>
      <c r="D46" s="19"/>
      <c r="E46" s="19"/>
      <c r="F46">
        <v>-76.411888000000005</v>
      </c>
      <c r="G46">
        <v>42.895125999999998</v>
      </c>
      <c r="H46">
        <v>7</v>
      </c>
      <c r="I46" t="s">
        <v>361</v>
      </c>
      <c r="J46" t="s">
        <v>360</v>
      </c>
      <c r="K46">
        <v>69</v>
      </c>
      <c r="L46" s="16">
        <v>110</v>
      </c>
      <c r="M46">
        <v>0</v>
      </c>
      <c r="N46" t="s">
        <v>352</v>
      </c>
      <c r="O46" t="s">
        <v>355</v>
      </c>
    </row>
    <row r="47" spans="1:16" hidden="1" x14ac:dyDescent="0.25">
      <c r="A47" t="s">
        <v>25</v>
      </c>
      <c r="B47" s="14" t="s">
        <v>940</v>
      </c>
      <c r="C47" s="19" t="s">
        <v>834</v>
      </c>
      <c r="D47" s="19"/>
      <c r="E47" s="19"/>
      <c r="F47">
        <v>-76.411698999999999</v>
      </c>
      <c r="G47">
        <v>42.894902000000002</v>
      </c>
      <c r="H47">
        <v>11</v>
      </c>
      <c r="I47" t="s">
        <v>361</v>
      </c>
      <c r="J47" t="s">
        <v>359</v>
      </c>
      <c r="K47">
        <v>217</v>
      </c>
      <c r="L47" s="16">
        <v>224</v>
      </c>
      <c r="M47">
        <v>0</v>
      </c>
      <c r="N47" t="s">
        <v>352</v>
      </c>
      <c r="O47" t="s">
        <v>355</v>
      </c>
      <c r="P47">
        <v>211</v>
      </c>
    </row>
    <row r="48" spans="1:16" hidden="1" x14ac:dyDescent="0.25">
      <c r="A48" t="s">
        <v>26</v>
      </c>
      <c r="B48" s="14" t="s">
        <v>941</v>
      </c>
      <c r="C48" s="19" t="s">
        <v>834</v>
      </c>
      <c r="D48" s="19"/>
      <c r="E48" s="19"/>
      <c r="F48">
        <v>-76.411755999999997</v>
      </c>
      <c r="G48">
        <v>42.895016333333302</v>
      </c>
      <c r="H48">
        <v>11</v>
      </c>
      <c r="I48" t="s">
        <v>361</v>
      </c>
      <c r="J48" t="s">
        <v>360</v>
      </c>
      <c r="K48">
        <v>234</v>
      </c>
      <c r="L48" s="16">
        <v>257</v>
      </c>
      <c r="M48">
        <v>0</v>
      </c>
      <c r="N48" t="s">
        <v>352</v>
      </c>
      <c r="O48" t="s">
        <v>355</v>
      </c>
    </row>
    <row r="49" spans="1:16" hidden="1" x14ac:dyDescent="0.25">
      <c r="A49" t="s">
        <v>28</v>
      </c>
      <c r="B49" s="14" t="s">
        <v>942</v>
      </c>
      <c r="C49" s="19" t="s">
        <v>834</v>
      </c>
      <c r="D49" s="19"/>
      <c r="E49" s="14"/>
      <c r="F49">
        <v>-76.411653999999999</v>
      </c>
      <c r="G49">
        <v>42.894987</v>
      </c>
      <c r="H49">
        <v>14</v>
      </c>
      <c r="I49" t="s">
        <v>361</v>
      </c>
      <c r="J49" t="s">
        <v>359</v>
      </c>
      <c r="K49">
        <v>221</v>
      </c>
      <c r="L49" s="16">
        <v>263</v>
      </c>
      <c r="M49">
        <v>0</v>
      </c>
      <c r="N49" t="s">
        <v>352</v>
      </c>
      <c r="O49" t="s">
        <v>355</v>
      </c>
    </row>
    <row r="50" spans="1:16" hidden="1" x14ac:dyDescent="0.25">
      <c r="A50" t="s">
        <v>29</v>
      </c>
      <c r="B50" s="14" t="s">
        <v>943</v>
      </c>
      <c r="C50" s="19" t="s">
        <v>834</v>
      </c>
      <c r="D50" s="19"/>
      <c r="E50" s="14"/>
      <c r="F50">
        <v>-76.411663000000004</v>
      </c>
      <c r="G50">
        <v>42.895015666666701</v>
      </c>
      <c r="H50">
        <v>14</v>
      </c>
      <c r="I50" t="s">
        <v>361</v>
      </c>
      <c r="J50" t="s">
        <v>360</v>
      </c>
      <c r="K50">
        <v>119</v>
      </c>
      <c r="L50" s="16">
        <v>123</v>
      </c>
      <c r="M50">
        <v>0</v>
      </c>
      <c r="N50" t="s">
        <v>352</v>
      </c>
      <c r="O50" t="s">
        <v>355</v>
      </c>
      <c r="P50">
        <v>127</v>
      </c>
    </row>
    <row r="51" spans="1:16" hidden="1" x14ac:dyDescent="0.25">
      <c r="A51" t="s">
        <v>263</v>
      </c>
      <c r="B51" s="14" t="s">
        <v>944</v>
      </c>
      <c r="C51" s="19"/>
      <c r="D51" s="19"/>
      <c r="E51" s="14"/>
      <c r="F51">
        <v>-76.411609484937102</v>
      </c>
      <c r="G51">
        <v>42.895070031418399</v>
      </c>
      <c r="H51">
        <v>17</v>
      </c>
      <c r="I51" t="s">
        <v>361</v>
      </c>
      <c r="J51" t="s">
        <v>359</v>
      </c>
      <c r="K51">
        <v>771</v>
      </c>
      <c r="L51" s="16">
        <v>726</v>
      </c>
      <c r="M51">
        <v>2</v>
      </c>
      <c r="N51" t="s">
        <v>352</v>
      </c>
      <c r="O51" t="s">
        <v>355</v>
      </c>
    </row>
    <row r="52" spans="1:16" hidden="1" x14ac:dyDescent="0.25">
      <c r="A52" t="s">
        <v>102</v>
      </c>
      <c r="B52" s="14" t="s">
        <v>945</v>
      </c>
      <c r="C52" s="19" t="s">
        <v>834</v>
      </c>
      <c r="D52" s="19"/>
      <c r="E52" s="14"/>
      <c r="F52">
        <v>-76.411598999999995</v>
      </c>
      <c r="G52">
        <v>42.895119000000001</v>
      </c>
      <c r="H52">
        <v>18</v>
      </c>
      <c r="I52" t="s">
        <v>361</v>
      </c>
      <c r="J52" t="s">
        <v>359</v>
      </c>
      <c r="K52">
        <v>281</v>
      </c>
      <c r="L52" s="16">
        <v>330</v>
      </c>
      <c r="M52">
        <v>2</v>
      </c>
      <c r="N52" t="s">
        <v>352</v>
      </c>
      <c r="O52" t="s">
        <v>355</v>
      </c>
      <c r="P52">
        <v>238</v>
      </c>
    </row>
    <row r="53" spans="1:16" hidden="1" x14ac:dyDescent="0.25">
      <c r="A53" t="s">
        <v>264</v>
      </c>
      <c r="B53" s="14" t="s">
        <v>946</v>
      </c>
      <c r="C53" s="19" t="s">
        <v>834</v>
      </c>
      <c r="D53" s="19"/>
      <c r="E53" s="14"/>
      <c r="F53">
        <v>-76.411598999999995</v>
      </c>
      <c r="G53">
        <v>42.895119000000001</v>
      </c>
      <c r="H53">
        <v>18</v>
      </c>
      <c r="I53" t="s">
        <v>361</v>
      </c>
      <c r="J53" t="s">
        <v>360</v>
      </c>
      <c r="K53">
        <v>258</v>
      </c>
      <c r="L53" s="16">
        <v>285</v>
      </c>
      <c r="M53">
        <v>2</v>
      </c>
      <c r="N53" t="s">
        <v>352</v>
      </c>
      <c r="O53" t="s">
        <v>355</v>
      </c>
    </row>
    <row r="54" spans="1:16" hidden="1" x14ac:dyDescent="0.25">
      <c r="A54" t="s">
        <v>103</v>
      </c>
      <c r="B54" s="14" t="s">
        <v>947</v>
      </c>
      <c r="C54" s="19" t="s">
        <v>834</v>
      </c>
      <c r="D54" s="19"/>
      <c r="E54" s="14"/>
      <c r="F54">
        <v>-76.392464000000004</v>
      </c>
      <c r="G54">
        <v>42.895046999999998</v>
      </c>
      <c r="H54">
        <v>24</v>
      </c>
      <c r="I54" t="s">
        <v>361</v>
      </c>
      <c r="J54" t="s">
        <v>359</v>
      </c>
      <c r="K54">
        <v>308</v>
      </c>
      <c r="L54" s="16">
        <v>326</v>
      </c>
      <c r="M54">
        <v>2</v>
      </c>
      <c r="N54" t="s">
        <v>352</v>
      </c>
      <c r="O54" t="s">
        <v>355</v>
      </c>
      <c r="P54">
        <v>281</v>
      </c>
    </row>
    <row r="55" spans="1:16" x14ac:dyDescent="0.25">
      <c r="A55" t="s">
        <v>104</v>
      </c>
      <c r="B55" s="14" t="s">
        <v>948</v>
      </c>
      <c r="C55" s="19">
        <v>0</v>
      </c>
      <c r="D55" s="19"/>
      <c r="E55" s="14"/>
      <c r="F55">
        <v>-76.411185000000003</v>
      </c>
      <c r="G55">
        <v>42.895007</v>
      </c>
      <c r="H55">
        <v>24</v>
      </c>
      <c r="I55" t="s">
        <v>361</v>
      </c>
      <c r="J55" t="s">
        <v>359</v>
      </c>
      <c r="K55">
        <v>268</v>
      </c>
      <c r="L55" s="16">
        <v>291</v>
      </c>
      <c r="M55">
        <v>2</v>
      </c>
      <c r="N55" t="s">
        <v>352</v>
      </c>
      <c r="O55" t="s">
        <v>355</v>
      </c>
      <c r="P55">
        <v>298</v>
      </c>
    </row>
    <row r="56" spans="1:16" x14ac:dyDescent="0.25">
      <c r="A56" t="s">
        <v>105</v>
      </c>
      <c r="B56" s="14" t="s">
        <v>949</v>
      </c>
      <c r="C56" s="19">
        <v>0</v>
      </c>
      <c r="D56" s="19"/>
      <c r="E56" s="14"/>
      <c r="F56">
        <v>-76.410652999999996</v>
      </c>
      <c r="G56">
        <v>42.894953999999998</v>
      </c>
      <c r="H56">
        <v>29</v>
      </c>
      <c r="I56" t="s">
        <v>361</v>
      </c>
      <c r="J56" t="s">
        <v>359</v>
      </c>
      <c r="K56">
        <v>199</v>
      </c>
      <c r="L56" s="16">
        <v>216</v>
      </c>
      <c r="M56">
        <v>2</v>
      </c>
      <c r="N56" t="s">
        <v>352</v>
      </c>
      <c r="O56" t="s">
        <v>355</v>
      </c>
      <c r="P56">
        <v>173</v>
      </c>
    </row>
    <row r="57" spans="1:16" hidden="1" x14ac:dyDescent="0.25">
      <c r="A57" t="s">
        <v>106</v>
      </c>
      <c r="B57" s="14" t="s">
        <v>950</v>
      </c>
      <c r="C57" s="19"/>
      <c r="D57" s="19"/>
      <c r="E57" s="14"/>
      <c r="F57">
        <v>-76.392968999999994</v>
      </c>
      <c r="G57">
        <v>42.89508</v>
      </c>
      <c r="H57">
        <v>31</v>
      </c>
      <c r="I57" t="s">
        <v>361</v>
      </c>
      <c r="J57" t="s">
        <v>359</v>
      </c>
      <c r="K57">
        <v>277</v>
      </c>
      <c r="L57" s="16">
        <v>287</v>
      </c>
      <c r="M57">
        <v>2</v>
      </c>
      <c r="N57" t="s">
        <v>352</v>
      </c>
      <c r="O57" t="s">
        <v>355</v>
      </c>
      <c r="P57">
        <v>62</v>
      </c>
    </row>
    <row r="58" spans="1:16" x14ac:dyDescent="0.25">
      <c r="A58" t="s">
        <v>107</v>
      </c>
      <c r="B58" s="14" t="s">
        <v>951</v>
      </c>
      <c r="C58" s="19">
        <v>0</v>
      </c>
      <c r="D58" s="19"/>
      <c r="E58" s="14"/>
      <c r="F58">
        <v>-76.394068000000004</v>
      </c>
      <c r="G58">
        <v>42.895007</v>
      </c>
      <c r="H58">
        <v>38</v>
      </c>
      <c r="I58" t="s">
        <v>361</v>
      </c>
      <c r="J58" t="s">
        <v>359</v>
      </c>
      <c r="K58">
        <v>146</v>
      </c>
      <c r="L58" s="16">
        <v>178</v>
      </c>
      <c r="M58">
        <v>2</v>
      </c>
      <c r="N58" t="s">
        <v>352</v>
      </c>
      <c r="O58" t="s">
        <v>355</v>
      </c>
      <c r="P58">
        <v>45</v>
      </c>
    </row>
    <row r="59" spans="1:16" x14ac:dyDescent="0.25">
      <c r="A59" t="s">
        <v>108</v>
      </c>
      <c r="B59" s="14" t="s">
        <v>952</v>
      </c>
      <c r="C59" s="19">
        <v>0</v>
      </c>
      <c r="D59" s="19"/>
      <c r="E59" s="14"/>
      <c r="F59">
        <v>-76.410166000000004</v>
      </c>
      <c r="G59">
        <v>42.894981000000001</v>
      </c>
      <c r="H59">
        <v>39</v>
      </c>
      <c r="I59" t="s">
        <v>361</v>
      </c>
      <c r="J59" t="s">
        <v>359</v>
      </c>
      <c r="K59">
        <v>98</v>
      </c>
      <c r="L59" s="16">
        <v>115</v>
      </c>
      <c r="M59">
        <v>2</v>
      </c>
      <c r="N59" t="s">
        <v>352</v>
      </c>
      <c r="O59" t="s">
        <v>355</v>
      </c>
      <c r="P59">
        <v>23</v>
      </c>
    </row>
    <row r="60" spans="1:16" x14ac:dyDescent="0.25">
      <c r="A60" t="s">
        <v>265</v>
      </c>
      <c r="B60" s="14" t="s">
        <v>953</v>
      </c>
      <c r="C60" s="19">
        <v>0</v>
      </c>
      <c r="D60" s="19"/>
      <c r="E60" s="14"/>
      <c r="F60">
        <v>-76.394807999999998</v>
      </c>
      <c r="G60">
        <v>42.894967999999999</v>
      </c>
      <c r="H60">
        <v>43</v>
      </c>
      <c r="I60" t="s">
        <v>361</v>
      </c>
      <c r="J60" t="s">
        <v>359</v>
      </c>
      <c r="K60">
        <v>135</v>
      </c>
      <c r="L60" s="16">
        <v>136</v>
      </c>
      <c r="M60">
        <v>2</v>
      </c>
      <c r="N60" t="s">
        <v>352</v>
      </c>
      <c r="O60" t="s">
        <v>355</v>
      </c>
      <c r="P60">
        <v>48</v>
      </c>
    </row>
    <row r="61" spans="1:16" x14ac:dyDescent="0.25">
      <c r="A61" t="s">
        <v>110</v>
      </c>
      <c r="B61" s="14" t="s">
        <v>954</v>
      </c>
      <c r="C61" s="19">
        <v>0</v>
      </c>
      <c r="D61" s="19"/>
      <c r="E61" s="14"/>
      <c r="F61">
        <v>-76.409561999999994</v>
      </c>
      <c r="G61">
        <v>42.894902000000002</v>
      </c>
      <c r="H61">
        <v>45</v>
      </c>
      <c r="I61" t="s">
        <v>361</v>
      </c>
      <c r="J61" t="s">
        <v>359</v>
      </c>
      <c r="K61">
        <v>73</v>
      </c>
      <c r="L61" s="16">
        <v>86</v>
      </c>
      <c r="M61">
        <v>2</v>
      </c>
      <c r="N61" t="s">
        <v>352</v>
      </c>
      <c r="O61" t="s">
        <v>355</v>
      </c>
      <c r="P61">
        <v>115</v>
      </c>
    </row>
    <row r="62" spans="1:16" x14ac:dyDescent="0.25">
      <c r="A62" t="s">
        <v>266</v>
      </c>
      <c r="B62" s="14" t="s">
        <v>1096</v>
      </c>
      <c r="C62" s="19">
        <v>0</v>
      </c>
      <c r="D62" s="19"/>
      <c r="E62" s="14"/>
      <c r="F62">
        <v>-76.409561999999994</v>
      </c>
      <c r="G62">
        <v>42.894902000000002</v>
      </c>
      <c r="H62">
        <v>45</v>
      </c>
      <c r="I62" t="s">
        <v>361</v>
      </c>
      <c r="J62" t="s">
        <v>360</v>
      </c>
      <c r="K62">
        <v>146</v>
      </c>
      <c r="L62" s="16"/>
      <c r="M62">
        <v>2</v>
      </c>
      <c r="N62" t="s">
        <v>352</v>
      </c>
      <c r="O62" t="s">
        <v>379</v>
      </c>
    </row>
    <row r="63" spans="1:16" x14ac:dyDescent="0.25">
      <c r="A63" t="s">
        <v>111</v>
      </c>
      <c r="B63" s="14" t="s">
        <v>955</v>
      </c>
      <c r="C63" s="19">
        <v>0</v>
      </c>
      <c r="D63" s="19"/>
      <c r="E63" s="14"/>
      <c r="F63">
        <v>-76.397132294201398</v>
      </c>
      <c r="G63">
        <v>42.895041392865899</v>
      </c>
      <c r="H63">
        <v>52</v>
      </c>
      <c r="I63" t="s">
        <v>361</v>
      </c>
      <c r="J63" t="s">
        <v>359</v>
      </c>
      <c r="K63">
        <v>45</v>
      </c>
      <c r="L63" s="16">
        <v>61</v>
      </c>
      <c r="M63">
        <v>2</v>
      </c>
      <c r="N63" t="s">
        <v>352</v>
      </c>
      <c r="O63" t="s">
        <v>355</v>
      </c>
      <c r="P63">
        <v>29</v>
      </c>
    </row>
    <row r="64" spans="1:16" x14ac:dyDescent="0.25">
      <c r="A64" t="s">
        <v>113</v>
      </c>
      <c r="B64" s="14" t="s">
        <v>956</v>
      </c>
      <c r="C64" s="19">
        <v>0</v>
      </c>
      <c r="D64" s="19"/>
      <c r="E64" s="14"/>
      <c r="F64">
        <v>-76.408472000000003</v>
      </c>
      <c r="G64">
        <v>42.895066999999997</v>
      </c>
      <c r="H64">
        <v>53</v>
      </c>
      <c r="I64" t="s">
        <v>361</v>
      </c>
      <c r="J64" t="s">
        <v>359</v>
      </c>
      <c r="K64">
        <v>38</v>
      </c>
      <c r="L64" s="16">
        <v>41</v>
      </c>
      <c r="M64">
        <v>2</v>
      </c>
      <c r="N64" t="s">
        <v>352</v>
      </c>
      <c r="O64" t="s">
        <v>355</v>
      </c>
      <c r="P64">
        <v>30</v>
      </c>
    </row>
    <row r="65" spans="1:16" hidden="1" x14ac:dyDescent="0.25">
      <c r="A65" t="s">
        <v>267</v>
      </c>
      <c r="B65" s="14" t="s">
        <v>957</v>
      </c>
      <c r="C65" s="19"/>
      <c r="D65" s="19"/>
      <c r="E65" s="19"/>
      <c r="F65">
        <v>-76.397060999999994</v>
      </c>
      <c r="G65">
        <v>42.860402999999998</v>
      </c>
      <c r="H65">
        <v>1</v>
      </c>
      <c r="I65" t="s">
        <v>371</v>
      </c>
      <c r="J65" t="s">
        <v>359</v>
      </c>
      <c r="K65">
        <v>116</v>
      </c>
      <c r="L65" s="16">
        <v>104</v>
      </c>
      <c r="M65">
        <v>1</v>
      </c>
      <c r="N65" t="s">
        <v>357</v>
      </c>
      <c r="O65" t="s">
        <v>355</v>
      </c>
    </row>
    <row r="66" spans="1:16" x14ac:dyDescent="0.25">
      <c r="A66" t="s">
        <v>268</v>
      </c>
      <c r="B66" s="14" t="s">
        <v>958</v>
      </c>
      <c r="C66" s="19">
        <v>0</v>
      </c>
      <c r="D66" s="19"/>
      <c r="E66" s="19"/>
      <c r="F66">
        <v>-76.397060999999994</v>
      </c>
      <c r="G66">
        <v>42.860402999999998</v>
      </c>
      <c r="H66">
        <v>1</v>
      </c>
      <c r="I66" t="s">
        <v>371</v>
      </c>
      <c r="J66" t="s">
        <v>360</v>
      </c>
      <c r="K66">
        <v>146</v>
      </c>
      <c r="L66" s="16">
        <v>147</v>
      </c>
      <c r="M66">
        <v>1</v>
      </c>
      <c r="N66" t="s">
        <v>357</v>
      </c>
      <c r="O66" t="s">
        <v>355</v>
      </c>
    </row>
    <row r="67" spans="1:16" hidden="1" x14ac:dyDescent="0.25">
      <c r="A67" t="s">
        <v>327</v>
      </c>
      <c r="B67" s="14" t="s">
        <v>959</v>
      </c>
      <c r="C67" s="19"/>
      <c r="D67" s="19"/>
      <c r="E67" s="19"/>
      <c r="F67">
        <v>-76.397060999999994</v>
      </c>
      <c r="G67">
        <v>42.860402999999998</v>
      </c>
      <c r="H67">
        <v>1</v>
      </c>
      <c r="I67" t="s">
        <v>371</v>
      </c>
      <c r="J67" t="s">
        <v>366</v>
      </c>
      <c r="K67">
        <v>13</v>
      </c>
      <c r="L67" s="16">
        <v>8</v>
      </c>
      <c r="M67">
        <v>0</v>
      </c>
      <c r="N67" t="s">
        <v>357</v>
      </c>
      <c r="O67" t="s">
        <v>353</v>
      </c>
    </row>
    <row r="68" spans="1:16" hidden="1" x14ac:dyDescent="0.25">
      <c r="A68" t="s">
        <v>115</v>
      </c>
      <c r="B68" s="14" t="s">
        <v>960</v>
      </c>
      <c r="C68" s="19"/>
      <c r="D68" s="19"/>
      <c r="E68" s="19"/>
      <c r="F68">
        <v>-76.396862999999996</v>
      </c>
      <c r="G68">
        <v>42.860430000000001</v>
      </c>
      <c r="H68">
        <v>2</v>
      </c>
      <c r="I68" t="s">
        <v>371</v>
      </c>
      <c r="J68" t="s">
        <v>359</v>
      </c>
      <c r="K68">
        <v>141</v>
      </c>
      <c r="L68" s="16">
        <v>130</v>
      </c>
      <c r="M68">
        <v>1</v>
      </c>
      <c r="N68" t="s">
        <v>357</v>
      </c>
      <c r="O68" t="s">
        <v>354</v>
      </c>
      <c r="P68">
        <v>77</v>
      </c>
    </row>
    <row r="69" spans="1:16" hidden="1" x14ac:dyDescent="0.25">
      <c r="A69" t="s">
        <v>269</v>
      </c>
      <c r="B69" s="14" t="s">
        <v>961</v>
      </c>
      <c r="C69" s="19"/>
      <c r="D69" s="19"/>
      <c r="E69" s="19"/>
      <c r="F69">
        <v>-76.396862999999996</v>
      </c>
      <c r="G69">
        <v>42.860430000000001</v>
      </c>
      <c r="H69">
        <v>2</v>
      </c>
      <c r="I69" t="s">
        <v>371</v>
      </c>
      <c r="J69" t="s">
        <v>360</v>
      </c>
      <c r="K69">
        <v>93</v>
      </c>
      <c r="L69" s="16">
        <v>82</v>
      </c>
      <c r="M69">
        <v>0</v>
      </c>
      <c r="N69" t="s">
        <v>357</v>
      </c>
      <c r="O69" t="s">
        <v>354</v>
      </c>
    </row>
    <row r="70" spans="1:16" hidden="1" x14ac:dyDescent="0.25">
      <c r="A70" t="s">
        <v>116</v>
      </c>
      <c r="B70" s="14" t="s">
        <v>962</v>
      </c>
      <c r="C70" s="19" t="s">
        <v>834</v>
      </c>
      <c r="D70" s="19"/>
      <c r="E70" s="19"/>
      <c r="F70">
        <v>-76.360286000000002</v>
      </c>
      <c r="G70">
        <v>42.861507000000003</v>
      </c>
      <c r="H70">
        <v>3</v>
      </c>
      <c r="I70" t="s">
        <v>371</v>
      </c>
      <c r="J70" t="s">
        <v>359</v>
      </c>
      <c r="K70">
        <v>330</v>
      </c>
      <c r="L70" s="16">
        <v>362</v>
      </c>
      <c r="M70">
        <v>2</v>
      </c>
      <c r="N70" t="s">
        <v>352</v>
      </c>
      <c r="O70" t="s">
        <v>355</v>
      </c>
      <c r="P70">
        <v>233</v>
      </c>
    </row>
    <row r="71" spans="1:16" hidden="1" x14ac:dyDescent="0.25">
      <c r="A71" t="s">
        <v>270</v>
      </c>
      <c r="B71" s="14" t="s">
        <v>963</v>
      </c>
      <c r="C71" s="19" t="s">
        <v>834</v>
      </c>
      <c r="D71" s="19"/>
      <c r="E71" s="19"/>
      <c r="F71">
        <v>-76.360286000000002</v>
      </c>
      <c r="G71">
        <v>42.861507000000003</v>
      </c>
      <c r="H71">
        <v>3</v>
      </c>
      <c r="I71" t="s">
        <v>371</v>
      </c>
      <c r="J71" t="s">
        <v>360</v>
      </c>
      <c r="K71">
        <v>407</v>
      </c>
      <c r="L71" s="16">
        <v>438</v>
      </c>
      <c r="M71">
        <v>2</v>
      </c>
      <c r="N71" t="s">
        <v>352</v>
      </c>
      <c r="O71" t="s">
        <v>355</v>
      </c>
    </row>
    <row r="72" spans="1:16" x14ac:dyDescent="0.25">
      <c r="A72" t="s">
        <v>117</v>
      </c>
      <c r="B72" s="14" t="s">
        <v>964</v>
      </c>
      <c r="C72" s="19">
        <v>0</v>
      </c>
      <c r="D72" s="19"/>
      <c r="E72" s="19"/>
      <c r="F72">
        <v>-76.396591999999998</v>
      </c>
      <c r="G72">
        <v>42.860554999999998</v>
      </c>
      <c r="H72">
        <v>3</v>
      </c>
      <c r="I72" t="s">
        <v>371</v>
      </c>
      <c r="J72" t="s">
        <v>359</v>
      </c>
      <c r="K72">
        <v>82</v>
      </c>
      <c r="L72" s="16">
        <v>112</v>
      </c>
      <c r="M72">
        <v>1</v>
      </c>
      <c r="N72" t="s">
        <v>352</v>
      </c>
      <c r="O72" t="s">
        <v>354</v>
      </c>
      <c r="P72">
        <v>39</v>
      </c>
    </row>
    <row r="73" spans="1:16" hidden="1" x14ac:dyDescent="0.25">
      <c r="A73" t="s">
        <v>328</v>
      </c>
      <c r="B73" s="14" t="s">
        <v>965</v>
      </c>
      <c r="C73" s="19"/>
      <c r="D73" s="19"/>
      <c r="E73" s="19"/>
      <c r="F73">
        <v>-76.396591999999998</v>
      </c>
      <c r="G73">
        <v>42.860554999999998</v>
      </c>
      <c r="H73">
        <v>3</v>
      </c>
      <c r="I73" t="s">
        <v>371</v>
      </c>
      <c r="J73" t="s">
        <v>360</v>
      </c>
      <c r="K73">
        <v>32</v>
      </c>
      <c r="L73" s="16">
        <v>45</v>
      </c>
      <c r="M73">
        <v>0</v>
      </c>
      <c r="N73" t="s">
        <v>352</v>
      </c>
      <c r="O73" t="s">
        <v>356</v>
      </c>
    </row>
    <row r="74" spans="1:16" hidden="1" x14ac:dyDescent="0.25">
      <c r="A74" t="s">
        <v>118</v>
      </c>
      <c r="B74" s="14"/>
      <c r="C74" s="19"/>
      <c r="D74" s="19"/>
      <c r="E74" s="19" t="s">
        <v>1102</v>
      </c>
      <c r="F74">
        <v>-76.361412999999999</v>
      </c>
      <c r="G74">
        <v>42.861387999999998</v>
      </c>
      <c r="H74">
        <v>5</v>
      </c>
      <c r="I74" t="s">
        <v>371</v>
      </c>
      <c r="J74" t="s">
        <v>359</v>
      </c>
      <c r="K74">
        <v>0</v>
      </c>
      <c r="L74" s="16"/>
      <c r="M74">
        <v>0</v>
      </c>
      <c r="N74" t="s">
        <v>352</v>
      </c>
      <c r="O74" t="s">
        <v>356</v>
      </c>
      <c r="P74">
        <v>526</v>
      </c>
    </row>
    <row r="75" spans="1:16" hidden="1" x14ac:dyDescent="0.25">
      <c r="A75" t="s">
        <v>329</v>
      </c>
      <c r="B75" s="14"/>
      <c r="C75" s="19"/>
      <c r="D75" s="19"/>
      <c r="E75" s="19" t="s">
        <v>1102</v>
      </c>
      <c r="F75">
        <v>-76.361412999999999</v>
      </c>
      <c r="G75">
        <v>42.861387999999998</v>
      </c>
      <c r="H75">
        <v>5</v>
      </c>
      <c r="I75" t="s">
        <v>371</v>
      </c>
      <c r="J75" t="s">
        <v>360</v>
      </c>
      <c r="K75">
        <v>0</v>
      </c>
      <c r="L75" s="16"/>
      <c r="M75">
        <v>0</v>
      </c>
      <c r="N75" t="s">
        <v>352</v>
      </c>
      <c r="O75" t="s">
        <v>356</v>
      </c>
    </row>
    <row r="76" spans="1:16" hidden="1" x14ac:dyDescent="0.25">
      <c r="A76" t="s">
        <v>31</v>
      </c>
      <c r="B76" s="14"/>
      <c r="C76" s="19"/>
      <c r="D76" s="19"/>
      <c r="E76" s="19" t="s">
        <v>1102</v>
      </c>
      <c r="F76">
        <v>-76.396331000000004</v>
      </c>
      <c r="G76">
        <v>42.860674000000003</v>
      </c>
      <c r="H76">
        <v>5</v>
      </c>
      <c r="I76" t="s">
        <v>371</v>
      </c>
      <c r="J76" t="s">
        <v>359</v>
      </c>
      <c r="K76">
        <v>0</v>
      </c>
      <c r="L76" s="16"/>
      <c r="M76">
        <v>0</v>
      </c>
      <c r="N76" t="s">
        <v>352</v>
      </c>
      <c r="O76" t="s">
        <v>356</v>
      </c>
      <c r="P76">
        <v>186</v>
      </c>
    </row>
    <row r="77" spans="1:16" hidden="1" x14ac:dyDescent="0.25">
      <c r="A77" t="s">
        <v>32</v>
      </c>
      <c r="B77" s="14"/>
      <c r="C77" s="19"/>
      <c r="D77" s="19"/>
      <c r="E77" s="19" t="s">
        <v>1102</v>
      </c>
      <c r="F77">
        <v>-76.396331000000004</v>
      </c>
      <c r="G77">
        <v>42.860674000000003</v>
      </c>
      <c r="H77">
        <v>5</v>
      </c>
      <c r="I77" t="s">
        <v>371</v>
      </c>
      <c r="J77" t="s">
        <v>360</v>
      </c>
      <c r="K77">
        <v>0</v>
      </c>
      <c r="L77" s="16"/>
      <c r="M77">
        <v>0</v>
      </c>
      <c r="N77" t="s">
        <v>352</v>
      </c>
      <c r="O77" t="s">
        <v>356</v>
      </c>
    </row>
    <row r="78" spans="1:16" hidden="1" x14ac:dyDescent="0.25">
      <c r="A78" t="s">
        <v>119</v>
      </c>
      <c r="B78" s="14"/>
      <c r="C78" s="19"/>
      <c r="D78" s="19"/>
      <c r="E78" s="19" t="s">
        <v>1102</v>
      </c>
      <c r="F78">
        <v>-76.361647000000005</v>
      </c>
      <c r="G78">
        <v>42.861142999999998</v>
      </c>
      <c r="H78">
        <v>8</v>
      </c>
      <c r="I78" t="s">
        <v>371</v>
      </c>
      <c r="J78" t="s">
        <v>359</v>
      </c>
      <c r="K78">
        <v>0</v>
      </c>
      <c r="L78" s="16"/>
      <c r="M78">
        <v>0</v>
      </c>
      <c r="N78" t="s">
        <v>352</v>
      </c>
      <c r="O78" t="s">
        <v>356</v>
      </c>
      <c r="P78">
        <v>628</v>
      </c>
    </row>
    <row r="79" spans="1:16" hidden="1" x14ac:dyDescent="0.25">
      <c r="A79" t="s">
        <v>330</v>
      </c>
      <c r="B79" s="14"/>
      <c r="C79" s="19"/>
      <c r="D79" s="19"/>
      <c r="E79" s="19" t="s">
        <v>1102</v>
      </c>
      <c r="F79">
        <v>-76.361647000000005</v>
      </c>
      <c r="G79">
        <v>42.861142999999998</v>
      </c>
      <c r="H79">
        <v>8</v>
      </c>
      <c r="I79" t="s">
        <v>371</v>
      </c>
      <c r="J79" t="s">
        <v>360</v>
      </c>
      <c r="K79">
        <v>0</v>
      </c>
      <c r="L79" s="16"/>
      <c r="M79">
        <v>1</v>
      </c>
      <c r="N79" t="s">
        <v>352</v>
      </c>
      <c r="O79" t="s">
        <v>356</v>
      </c>
    </row>
    <row r="80" spans="1:16" x14ac:dyDescent="0.25">
      <c r="A80" t="s">
        <v>120</v>
      </c>
      <c r="B80" s="14" t="s">
        <v>966</v>
      </c>
      <c r="C80" s="19">
        <v>0</v>
      </c>
      <c r="D80" s="19"/>
      <c r="E80" s="19"/>
      <c r="F80">
        <v>-76.395853000000002</v>
      </c>
      <c r="G80">
        <v>42.861189000000003</v>
      </c>
      <c r="H80">
        <v>8</v>
      </c>
      <c r="I80" t="s">
        <v>371</v>
      </c>
      <c r="J80" t="s">
        <v>359</v>
      </c>
      <c r="K80">
        <v>90</v>
      </c>
      <c r="L80" s="16">
        <v>118</v>
      </c>
      <c r="M80">
        <v>1</v>
      </c>
      <c r="N80" t="s">
        <v>352</v>
      </c>
      <c r="O80" t="s">
        <v>355</v>
      </c>
      <c r="P80">
        <v>792</v>
      </c>
    </row>
    <row r="81" spans="1:16" hidden="1" x14ac:dyDescent="0.25">
      <c r="A81" t="s">
        <v>271</v>
      </c>
      <c r="B81" s="14" t="s">
        <v>967</v>
      </c>
      <c r="C81" s="19"/>
      <c r="D81" s="19"/>
      <c r="E81" s="19"/>
      <c r="F81">
        <v>-76.395853000000002</v>
      </c>
      <c r="G81">
        <v>42.861189000000003</v>
      </c>
      <c r="H81">
        <v>8</v>
      </c>
      <c r="I81" t="s">
        <v>371</v>
      </c>
      <c r="J81" t="s">
        <v>360</v>
      </c>
      <c r="K81">
        <v>86</v>
      </c>
      <c r="L81" s="16">
        <v>106</v>
      </c>
      <c r="M81">
        <v>1</v>
      </c>
      <c r="N81" t="s">
        <v>352</v>
      </c>
      <c r="O81" t="s">
        <v>355</v>
      </c>
    </row>
    <row r="82" spans="1:16" hidden="1" x14ac:dyDescent="0.25">
      <c r="A82" t="s">
        <v>121</v>
      </c>
      <c r="B82" s="14" t="s">
        <v>968</v>
      </c>
      <c r="C82" s="19" t="s">
        <v>834</v>
      </c>
      <c r="D82" s="19"/>
      <c r="E82" s="19"/>
      <c r="F82">
        <v>-76.361936</v>
      </c>
      <c r="G82">
        <v>42.861255999999997</v>
      </c>
      <c r="H82">
        <v>10</v>
      </c>
      <c r="I82" t="s">
        <v>371</v>
      </c>
      <c r="J82" t="s">
        <v>359</v>
      </c>
      <c r="K82">
        <v>300</v>
      </c>
      <c r="L82" s="16">
        <v>337</v>
      </c>
      <c r="M82">
        <v>2</v>
      </c>
      <c r="N82" t="s">
        <v>352</v>
      </c>
      <c r="O82" t="s">
        <v>355</v>
      </c>
      <c r="P82">
        <v>597</v>
      </c>
    </row>
    <row r="83" spans="1:16" hidden="1" x14ac:dyDescent="0.25">
      <c r="A83" t="s">
        <v>272</v>
      </c>
      <c r="B83" s="14" t="s">
        <v>969</v>
      </c>
      <c r="C83" s="19"/>
      <c r="D83" s="19"/>
      <c r="E83" s="19"/>
      <c r="F83">
        <v>-76.361936</v>
      </c>
      <c r="G83">
        <v>42.861255999999997</v>
      </c>
      <c r="H83">
        <v>10</v>
      </c>
      <c r="I83" t="s">
        <v>371</v>
      </c>
      <c r="J83" t="s">
        <v>360</v>
      </c>
      <c r="K83">
        <v>120</v>
      </c>
      <c r="L83" s="16">
        <v>164</v>
      </c>
      <c r="M83">
        <v>1</v>
      </c>
      <c r="N83" t="s">
        <v>352</v>
      </c>
      <c r="O83" t="s">
        <v>354</v>
      </c>
    </row>
    <row r="84" spans="1:16" hidden="1" x14ac:dyDescent="0.25">
      <c r="A84" t="s">
        <v>243</v>
      </c>
      <c r="B84" s="14" t="s">
        <v>970</v>
      </c>
      <c r="C84" s="19"/>
      <c r="D84" s="19"/>
      <c r="E84" s="19"/>
      <c r="F84">
        <v>-76.394419999999997</v>
      </c>
      <c r="G84">
        <v>42.861381000000002</v>
      </c>
      <c r="H84">
        <v>11</v>
      </c>
      <c r="I84" t="s">
        <v>371</v>
      </c>
      <c r="J84" t="s">
        <v>359</v>
      </c>
      <c r="K84">
        <v>91</v>
      </c>
      <c r="L84" s="16">
        <v>78</v>
      </c>
      <c r="M84">
        <v>1</v>
      </c>
      <c r="N84" t="s">
        <v>352</v>
      </c>
      <c r="O84" t="s">
        <v>355</v>
      </c>
      <c r="P84">
        <v>0</v>
      </c>
    </row>
    <row r="85" spans="1:16" hidden="1" x14ac:dyDescent="0.25">
      <c r="A85" t="s">
        <v>273</v>
      </c>
      <c r="B85" s="14" t="s">
        <v>971</v>
      </c>
      <c r="C85" s="19"/>
      <c r="D85" s="19"/>
      <c r="E85" s="19"/>
      <c r="F85">
        <v>-76.394419999999997</v>
      </c>
      <c r="G85">
        <v>42.861381000000002</v>
      </c>
      <c r="H85">
        <v>11</v>
      </c>
      <c r="I85" t="s">
        <v>371</v>
      </c>
      <c r="J85" t="s">
        <v>360</v>
      </c>
      <c r="K85">
        <v>94</v>
      </c>
      <c r="L85" s="16">
        <v>81</v>
      </c>
      <c r="M85">
        <v>0</v>
      </c>
      <c r="N85" t="s">
        <v>352</v>
      </c>
      <c r="O85" t="s">
        <v>355</v>
      </c>
    </row>
    <row r="86" spans="1:16" hidden="1" x14ac:dyDescent="0.25">
      <c r="A86" t="s">
        <v>122</v>
      </c>
      <c r="B86" s="14" t="s">
        <v>972</v>
      </c>
      <c r="C86" s="19"/>
      <c r="D86" s="19"/>
      <c r="E86" s="19"/>
      <c r="F86">
        <v>-76.362143000000003</v>
      </c>
      <c r="G86">
        <v>42.861348</v>
      </c>
      <c r="H86">
        <v>13</v>
      </c>
      <c r="I86" t="s">
        <v>371</v>
      </c>
      <c r="J86" t="s">
        <v>359</v>
      </c>
      <c r="K86">
        <v>73</v>
      </c>
      <c r="L86" s="16">
        <v>88</v>
      </c>
      <c r="M86">
        <v>1</v>
      </c>
      <c r="N86" t="s">
        <v>352</v>
      </c>
      <c r="O86" t="s">
        <v>355</v>
      </c>
      <c r="P86">
        <v>239</v>
      </c>
    </row>
    <row r="87" spans="1:16" hidden="1" x14ac:dyDescent="0.25">
      <c r="A87" t="s">
        <v>274</v>
      </c>
      <c r="B87" s="14" t="s">
        <v>1095</v>
      </c>
      <c r="C87" s="19"/>
      <c r="D87" s="19"/>
      <c r="E87" s="19" t="s">
        <v>1109</v>
      </c>
      <c r="F87">
        <v>-76.362143000000003</v>
      </c>
      <c r="G87">
        <v>42.861348</v>
      </c>
      <c r="H87">
        <v>13</v>
      </c>
      <c r="I87" t="s">
        <v>371</v>
      </c>
      <c r="J87" t="s">
        <v>360</v>
      </c>
      <c r="K87">
        <v>59</v>
      </c>
      <c r="L87" s="16"/>
      <c r="M87">
        <v>1</v>
      </c>
      <c r="N87" t="s">
        <v>352</v>
      </c>
      <c r="O87" t="s">
        <v>355</v>
      </c>
    </row>
    <row r="88" spans="1:16" hidden="1" x14ac:dyDescent="0.25">
      <c r="A88" t="s">
        <v>123</v>
      </c>
      <c r="B88" s="14" t="s">
        <v>973</v>
      </c>
      <c r="C88" s="19"/>
      <c r="D88" s="19"/>
      <c r="E88" s="19"/>
      <c r="F88">
        <v>-76.394076999999996</v>
      </c>
      <c r="G88">
        <v>42.861355000000003</v>
      </c>
      <c r="H88">
        <v>14</v>
      </c>
      <c r="I88" t="s">
        <v>371</v>
      </c>
      <c r="J88" t="s">
        <v>359</v>
      </c>
      <c r="K88">
        <v>38</v>
      </c>
      <c r="L88" s="16">
        <v>34</v>
      </c>
      <c r="M88">
        <v>1</v>
      </c>
      <c r="N88" t="s">
        <v>352</v>
      </c>
      <c r="O88" t="s">
        <v>355</v>
      </c>
      <c r="P88">
        <v>194</v>
      </c>
    </row>
    <row r="89" spans="1:16" x14ac:dyDescent="0.25">
      <c r="A89" t="s">
        <v>275</v>
      </c>
      <c r="B89" s="14" t="s">
        <v>974</v>
      </c>
      <c r="C89" s="19">
        <v>0</v>
      </c>
      <c r="D89" s="19"/>
      <c r="E89" s="19"/>
      <c r="F89">
        <v>-76.394076999999996</v>
      </c>
      <c r="G89">
        <v>42.861355000000003</v>
      </c>
      <c r="H89">
        <v>14</v>
      </c>
      <c r="I89" t="s">
        <v>371</v>
      </c>
      <c r="J89" t="s">
        <v>360</v>
      </c>
      <c r="K89">
        <v>59</v>
      </c>
      <c r="L89" s="16">
        <v>57</v>
      </c>
      <c r="M89">
        <v>1</v>
      </c>
      <c r="N89" t="s">
        <v>352</v>
      </c>
      <c r="O89" t="s">
        <v>355</v>
      </c>
    </row>
    <row r="90" spans="1:16" hidden="1" x14ac:dyDescent="0.25">
      <c r="A90" t="s">
        <v>124</v>
      </c>
      <c r="B90" s="14" t="s">
        <v>975</v>
      </c>
      <c r="C90" s="19"/>
      <c r="D90" s="19"/>
      <c r="E90" s="19"/>
      <c r="F90">
        <v>-76.362260000000006</v>
      </c>
      <c r="G90">
        <v>42.861367999999999</v>
      </c>
      <c r="H90">
        <v>17</v>
      </c>
      <c r="I90" t="s">
        <v>371</v>
      </c>
      <c r="J90" t="s">
        <v>359</v>
      </c>
      <c r="K90">
        <v>91</v>
      </c>
      <c r="L90" s="16">
        <v>114</v>
      </c>
      <c r="M90">
        <v>0</v>
      </c>
      <c r="N90" t="s">
        <v>352</v>
      </c>
      <c r="O90" t="s">
        <v>355</v>
      </c>
      <c r="P90">
        <v>558</v>
      </c>
    </row>
    <row r="91" spans="1:16" hidden="1" x14ac:dyDescent="0.25">
      <c r="A91" t="s">
        <v>276</v>
      </c>
      <c r="B91" s="14" t="s">
        <v>976</v>
      </c>
      <c r="C91" s="19"/>
      <c r="D91" s="19"/>
      <c r="E91" s="19"/>
      <c r="F91">
        <v>-76.362260000000006</v>
      </c>
      <c r="G91">
        <v>42.861367999999999</v>
      </c>
      <c r="H91">
        <v>17</v>
      </c>
      <c r="I91" t="s">
        <v>371</v>
      </c>
      <c r="J91" t="s">
        <v>360</v>
      </c>
      <c r="K91">
        <v>56</v>
      </c>
      <c r="L91" s="16">
        <v>48</v>
      </c>
      <c r="M91">
        <v>2</v>
      </c>
      <c r="N91" t="s">
        <v>352</v>
      </c>
      <c r="O91" t="s">
        <v>355</v>
      </c>
    </row>
    <row r="92" spans="1:16" hidden="1" x14ac:dyDescent="0.25">
      <c r="A92" t="s">
        <v>125</v>
      </c>
      <c r="B92" s="14" t="s">
        <v>977</v>
      </c>
      <c r="C92" s="19" t="s">
        <v>834</v>
      </c>
      <c r="D92" s="19"/>
      <c r="E92" s="19"/>
      <c r="F92">
        <v>-76.392347000000001</v>
      </c>
      <c r="G92">
        <v>42.861241999999997</v>
      </c>
      <c r="H92">
        <v>17</v>
      </c>
      <c r="I92" t="s">
        <v>371</v>
      </c>
      <c r="J92" t="s">
        <v>359</v>
      </c>
      <c r="K92">
        <v>299</v>
      </c>
      <c r="L92" s="16">
        <v>394</v>
      </c>
      <c r="M92">
        <v>2</v>
      </c>
      <c r="N92" t="s">
        <v>352</v>
      </c>
      <c r="O92" t="s">
        <v>355</v>
      </c>
      <c r="P92">
        <v>48</v>
      </c>
    </row>
    <row r="93" spans="1:16" hidden="1" x14ac:dyDescent="0.25">
      <c r="A93" t="s">
        <v>277</v>
      </c>
      <c r="B93" s="14" t="s">
        <v>978</v>
      </c>
      <c r="C93" s="19" t="s">
        <v>834</v>
      </c>
      <c r="D93" s="19"/>
      <c r="E93" s="19"/>
      <c r="F93">
        <v>-76.392347000000001</v>
      </c>
      <c r="G93">
        <v>42.861241999999997</v>
      </c>
      <c r="H93">
        <v>17</v>
      </c>
      <c r="I93" t="s">
        <v>371</v>
      </c>
      <c r="J93" t="s">
        <v>360</v>
      </c>
      <c r="K93">
        <v>305</v>
      </c>
      <c r="L93" s="16">
        <v>371</v>
      </c>
      <c r="M93">
        <v>2</v>
      </c>
      <c r="N93" t="s">
        <v>352</v>
      </c>
      <c r="O93" t="s">
        <v>355</v>
      </c>
    </row>
    <row r="94" spans="1:16" hidden="1" x14ac:dyDescent="0.25">
      <c r="A94" t="s">
        <v>127</v>
      </c>
      <c r="B94" s="14" t="s">
        <v>979</v>
      </c>
      <c r="C94" s="19"/>
      <c r="D94" s="19"/>
      <c r="E94" s="19"/>
      <c r="F94">
        <v>-76.362403999999998</v>
      </c>
      <c r="G94">
        <v>42.861474000000001</v>
      </c>
      <c r="H94">
        <v>21</v>
      </c>
      <c r="I94" t="s">
        <v>371</v>
      </c>
      <c r="J94" t="s">
        <v>359</v>
      </c>
      <c r="K94">
        <v>384</v>
      </c>
      <c r="L94" s="16">
        <v>426</v>
      </c>
      <c r="M94">
        <v>1</v>
      </c>
      <c r="N94" t="s">
        <v>352</v>
      </c>
      <c r="O94" t="s">
        <v>355</v>
      </c>
      <c r="P94">
        <v>729</v>
      </c>
    </row>
    <row r="95" spans="1:16" hidden="1" x14ac:dyDescent="0.25">
      <c r="A95" t="s">
        <v>128</v>
      </c>
      <c r="B95" s="14" t="s">
        <v>980</v>
      </c>
      <c r="C95" s="19" t="s">
        <v>834</v>
      </c>
      <c r="D95" s="19"/>
      <c r="E95" s="19"/>
      <c r="F95">
        <v>-76.362684000000002</v>
      </c>
      <c r="G95">
        <v>42.861790999999997</v>
      </c>
      <c r="H95">
        <v>22</v>
      </c>
      <c r="I95" t="s">
        <v>371</v>
      </c>
      <c r="J95" t="s">
        <v>359</v>
      </c>
      <c r="K95">
        <v>294</v>
      </c>
      <c r="L95" s="16">
        <v>332</v>
      </c>
      <c r="M95">
        <v>0</v>
      </c>
      <c r="N95" t="s">
        <v>352</v>
      </c>
      <c r="O95" t="s">
        <v>355</v>
      </c>
      <c r="P95">
        <v>332</v>
      </c>
    </row>
    <row r="96" spans="1:16" hidden="1" x14ac:dyDescent="0.25">
      <c r="A96" t="s">
        <v>130</v>
      </c>
      <c r="B96" s="14" t="s">
        <v>981</v>
      </c>
      <c r="C96" s="19" t="s">
        <v>834</v>
      </c>
      <c r="D96" s="19"/>
      <c r="E96" s="19"/>
      <c r="F96">
        <v>-76.391381999999993</v>
      </c>
      <c r="G96">
        <v>42.861215999999999</v>
      </c>
      <c r="H96">
        <v>22</v>
      </c>
      <c r="I96" t="s">
        <v>371</v>
      </c>
      <c r="J96" t="s">
        <v>359</v>
      </c>
      <c r="K96">
        <v>206</v>
      </c>
      <c r="L96" s="16">
        <v>275</v>
      </c>
      <c r="M96">
        <v>2</v>
      </c>
      <c r="N96" t="s">
        <v>352</v>
      </c>
      <c r="O96" t="s">
        <v>355</v>
      </c>
      <c r="P96">
        <v>358</v>
      </c>
    </row>
    <row r="97" spans="1:16" hidden="1" x14ac:dyDescent="0.25">
      <c r="A97" t="s">
        <v>278</v>
      </c>
      <c r="B97" s="14" t="s">
        <v>982</v>
      </c>
      <c r="C97" s="19" t="s">
        <v>834</v>
      </c>
      <c r="D97" s="19"/>
      <c r="E97" s="14"/>
      <c r="F97">
        <v>-76.391381999999993</v>
      </c>
      <c r="G97">
        <v>42.861215999999999</v>
      </c>
      <c r="H97">
        <v>22</v>
      </c>
      <c r="I97" t="s">
        <v>371</v>
      </c>
      <c r="J97" t="s">
        <v>360</v>
      </c>
      <c r="K97">
        <v>208</v>
      </c>
      <c r="L97" s="16">
        <v>246</v>
      </c>
      <c r="M97">
        <v>2</v>
      </c>
      <c r="N97" t="s">
        <v>352</v>
      </c>
      <c r="O97" t="s">
        <v>355</v>
      </c>
    </row>
    <row r="98" spans="1:16" hidden="1" x14ac:dyDescent="0.25">
      <c r="A98" t="s">
        <v>131</v>
      </c>
      <c r="B98" s="14" t="s">
        <v>983</v>
      </c>
      <c r="C98" s="19" t="s">
        <v>834</v>
      </c>
      <c r="D98" s="19"/>
      <c r="E98" s="14"/>
      <c r="F98">
        <v>-76.390788000000001</v>
      </c>
      <c r="G98">
        <v>42.861302000000002</v>
      </c>
      <c r="H98">
        <v>24</v>
      </c>
      <c r="I98" t="s">
        <v>371</v>
      </c>
      <c r="J98" t="s">
        <v>359</v>
      </c>
      <c r="K98">
        <v>178</v>
      </c>
      <c r="L98" s="16">
        <v>236</v>
      </c>
      <c r="M98">
        <v>1</v>
      </c>
      <c r="N98" t="s">
        <v>352</v>
      </c>
      <c r="O98" t="s">
        <v>355</v>
      </c>
      <c r="P98">
        <v>102</v>
      </c>
    </row>
    <row r="99" spans="1:16" x14ac:dyDescent="0.25">
      <c r="A99" t="s">
        <v>132</v>
      </c>
      <c r="B99" s="14" t="s">
        <v>984</v>
      </c>
      <c r="C99" s="19">
        <v>0</v>
      </c>
      <c r="D99" s="19"/>
      <c r="E99" s="14"/>
      <c r="F99">
        <v>-76.362836999999999</v>
      </c>
      <c r="G99">
        <v>42.861255999999997</v>
      </c>
      <c r="H99">
        <v>31</v>
      </c>
      <c r="I99" t="s">
        <v>371</v>
      </c>
      <c r="J99" t="s">
        <v>359</v>
      </c>
      <c r="K99">
        <v>318</v>
      </c>
      <c r="L99" s="16">
        <v>358</v>
      </c>
      <c r="M99">
        <v>2</v>
      </c>
      <c r="N99" t="s">
        <v>352</v>
      </c>
      <c r="O99" t="s">
        <v>355</v>
      </c>
      <c r="P99">
        <v>89</v>
      </c>
    </row>
    <row r="100" spans="1:16" hidden="1" x14ac:dyDescent="0.25">
      <c r="A100" t="s">
        <v>133</v>
      </c>
      <c r="B100" s="14" t="s">
        <v>985</v>
      </c>
      <c r="C100" s="19"/>
      <c r="D100" s="19"/>
      <c r="E100" s="14"/>
      <c r="F100">
        <v>-76.389706000000004</v>
      </c>
      <c r="G100">
        <v>42.861209000000002</v>
      </c>
      <c r="H100">
        <v>31</v>
      </c>
      <c r="I100" t="s">
        <v>371</v>
      </c>
      <c r="J100" t="s">
        <v>359</v>
      </c>
      <c r="K100">
        <v>149</v>
      </c>
      <c r="L100" s="16">
        <v>142</v>
      </c>
      <c r="M100">
        <v>1</v>
      </c>
      <c r="N100" t="s">
        <v>352</v>
      </c>
      <c r="O100" t="s">
        <v>355</v>
      </c>
      <c r="P100">
        <v>101</v>
      </c>
    </row>
    <row r="101" spans="1:16" hidden="1" x14ac:dyDescent="0.25">
      <c r="A101" t="s">
        <v>134</v>
      </c>
      <c r="B101" s="14" t="s">
        <v>986</v>
      </c>
      <c r="C101" s="19"/>
      <c r="D101" s="19"/>
      <c r="E101" s="14"/>
      <c r="F101">
        <v>-76.363459000000006</v>
      </c>
      <c r="G101">
        <v>42.861282000000003</v>
      </c>
      <c r="H101">
        <v>38</v>
      </c>
      <c r="I101" t="s">
        <v>371</v>
      </c>
      <c r="J101" t="s">
        <v>359</v>
      </c>
      <c r="K101">
        <v>250</v>
      </c>
      <c r="L101" s="16">
        <v>288</v>
      </c>
      <c r="M101">
        <v>2</v>
      </c>
      <c r="N101" t="s">
        <v>352</v>
      </c>
      <c r="O101" t="s">
        <v>355</v>
      </c>
      <c r="P101">
        <v>117</v>
      </c>
    </row>
    <row r="102" spans="1:16" hidden="1" x14ac:dyDescent="0.25">
      <c r="A102" t="s">
        <v>135</v>
      </c>
      <c r="B102" s="14" t="s">
        <v>987</v>
      </c>
      <c r="C102" s="19"/>
      <c r="D102" s="19"/>
      <c r="E102" s="14"/>
      <c r="F102">
        <v>-76.388642000000004</v>
      </c>
      <c r="G102">
        <v>42.861122999999999</v>
      </c>
      <c r="H102">
        <v>38</v>
      </c>
      <c r="I102" t="s">
        <v>371</v>
      </c>
      <c r="J102" t="s">
        <v>359</v>
      </c>
      <c r="K102">
        <v>155</v>
      </c>
      <c r="L102" s="16">
        <v>144</v>
      </c>
      <c r="M102">
        <v>2</v>
      </c>
      <c r="N102" t="s">
        <v>352</v>
      </c>
      <c r="O102" t="s">
        <v>355</v>
      </c>
      <c r="P102">
        <v>102</v>
      </c>
    </row>
    <row r="103" spans="1:16" x14ac:dyDescent="0.25">
      <c r="A103" t="s">
        <v>136</v>
      </c>
      <c r="B103" s="14" t="s">
        <v>988</v>
      </c>
      <c r="C103" s="19">
        <v>0</v>
      </c>
      <c r="D103" s="19"/>
      <c r="E103" s="14"/>
      <c r="F103">
        <v>-76.389706000000004</v>
      </c>
      <c r="G103">
        <v>42.861209000000002</v>
      </c>
      <c r="H103">
        <v>38</v>
      </c>
      <c r="I103" t="s">
        <v>371</v>
      </c>
      <c r="J103" t="s">
        <v>360</v>
      </c>
      <c r="K103">
        <v>172</v>
      </c>
      <c r="L103" s="16">
        <v>154</v>
      </c>
      <c r="M103">
        <v>2</v>
      </c>
      <c r="N103" t="s">
        <v>352</v>
      </c>
      <c r="O103" t="s">
        <v>355</v>
      </c>
      <c r="P103">
        <v>61</v>
      </c>
    </row>
    <row r="104" spans="1:16" x14ac:dyDescent="0.25">
      <c r="A104" t="s">
        <v>137</v>
      </c>
      <c r="B104" s="14" t="s">
        <v>989</v>
      </c>
      <c r="C104" s="19">
        <v>0</v>
      </c>
      <c r="D104" s="19"/>
      <c r="E104" s="14"/>
      <c r="F104">
        <v>-76.387677999999994</v>
      </c>
      <c r="G104">
        <v>42.861196</v>
      </c>
      <c r="H104">
        <v>43</v>
      </c>
      <c r="I104" t="s">
        <v>371</v>
      </c>
      <c r="J104" t="s">
        <v>359</v>
      </c>
      <c r="K104">
        <v>123</v>
      </c>
      <c r="L104" s="16">
        <v>134</v>
      </c>
      <c r="M104">
        <v>2</v>
      </c>
      <c r="N104" t="s">
        <v>352</v>
      </c>
      <c r="O104" t="s">
        <v>355</v>
      </c>
      <c r="P104">
        <v>111</v>
      </c>
    </row>
    <row r="105" spans="1:16" x14ac:dyDescent="0.25">
      <c r="A105" t="s">
        <v>138</v>
      </c>
      <c r="B105" s="14" t="s">
        <v>990</v>
      </c>
      <c r="C105" s="19">
        <v>0</v>
      </c>
      <c r="D105" s="19"/>
      <c r="E105" s="14"/>
      <c r="F105">
        <v>-76.363928000000001</v>
      </c>
      <c r="G105">
        <v>42.861196</v>
      </c>
      <c r="H105">
        <v>46</v>
      </c>
      <c r="I105" t="s">
        <v>371</v>
      </c>
      <c r="J105" t="s">
        <v>359</v>
      </c>
      <c r="K105">
        <v>225</v>
      </c>
      <c r="L105" s="16">
        <v>271</v>
      </c>
      <c r="M105">
        <v>2</v>
      </c>
      <c r="N105" t="s">
        <v>352</v>
      </c>
      <c r="O105" t="s">
        <v>355</v>
      </c>
      <c r="P105">
        <v>312</v>
      </c>
    </row>
    <row r="106" spans="1:16" x14ac:dyDescent="0.25">
      <c r="A106" t="s">
        <v>139</v>
      </c>
      <c r="B106" s="14" t="s">
        <v>991</v>
      </c>
      <c r="C106" s="19">
        <v>0</v>
      </c>
      <c r="D106" s="19"/>
      <c r="E106" s="14"/>
      <c r="F106">
        <v>-76.364478000000005</v>
      </c>
      <c r="G106">
        <v>42.861229000000002</v>
      </c>
      <c r="H106">
        <v>52</v>
      </c>
      <c r="I106" t="s">
        <v>371</v>
      </c>
      <c r="J106" t="s">
        <v>359</v>
      </c>
      <c r="K106">
        <v>161</v>
      </c>
      <c r="L106" s="16">
        <v>262</v>
      </c>
      <c r="M106">
        <v>2</v>
      </c>
      <c r="N106" t="s">
        <v>352</v>
      </c>
      <c r="O106" t="s">
        <v>355</v>
      </c>
      <c r="P106">
        <v>97</v>
      </c>
    </row>
    <row r="107" spans="1:16" x14ac:dyDescent="0.25">
      <c r="A107" t="s">
        <v>140</v>
      </c>
      <c r="B107" s="14" t="s">
        <v>992</v>
      </c>
      <c r="C107" s="19">
        <v>0</v>
      </c>
      <c r="D107" s="19"/>
      <c r="E107" s="14"/>
      <c r="F107">
        <v>-76.387028999999998</v>
      </c>
      <c r="G107">
        <v>42.861274999999999</v>
      </c>
      <c r="H107">
        <v>52</v>
      </c>
      <c r="I107" t="s">
        <v>371</v>
      </c>
      <c r="J107" t="s">
        <v>359</v>
      </c>
      <c r="K107">
        <v>60</v>
      </c>
      <c r="L107" s="16">
        <v>81</v>
      </c>
      <c r="M107">
        <v>2</v>
      </c>
      <c r="N107" t="s">
        <v>352</v>
      </c>
      <c r="O107" t="s">
        <v>355</v>
      </c>
      <c r="P107">
        <v>96</v>
      </c>
    </row>
    <row r="108" spans="1:16" hidden="1" x14ac:dyDescent="0.25">
      <c r="A108" t="s">
        <v>44</v>
      </c>
      <c r="B108" s="14" t="s">
        <v>993</v>
      </c>
      <c r="C108" s="19" t="s">
        <v>834</v>
      </c>
      <c r="D108" s="19"/>
      <c r="E108" s="14"/>
      <c r="F108">
        <v>-76.346198000000001</v>
      </c>
      <c r="G108">
        <v>42.833731999999998</v>
      </c>
      <c r="H108">
        <v>14</v>
      </c>
      <c r="I108" t="s">
        <v>362</v>
      </c>
      <c r="J108" t="s">
        <v>359</v>
      </c>
      <c r="K108">
        <v>150</v>
      </c>
      <c r="L108" s="16">
        <v>114</v>
      </c>
      <c r="M108">
        <v>0</v>
      </c>
      <c r="N108" t="s">
        <v>352</v>
      </c>
      <c r="O108" t="s">
        <v>355</v>
      </c>
      <c r="P108">
        <v>233</v>
      </c>
    </row>
    <row r="109" spans="1:16" hidden="1" x14ac:dyDescent="0.25">
      <c r="A109" t="s">
        <v>154</v>
      </c>
      <c r="B109" s="14" t="s">
        <v>994</v>
      </c>
      <c r="C109" s="19" t="s">
        <v>834</v>
      </c>
      <c r="D109" s="19"/>
      <c r="E109" s="14"/>
      <c r="F109">
        <v>-76.327757000000005</v>
      </c>
      <c r="G109">
        <v>42.833739000000001</v>
      </c>
      <c r="H109">
        <v>24</v>
      </c>
      <c r="I109" t="s">
        <v>362</v>
      </c>
      <c r="J109" t="s">
        <v>359</v>
      </c>
      <c r="K109">
        <v>85</v>
      </c>
      <c r="L109" s="16">
        <v>73</v>
      </c>
      <c r="M109">
        <v>2</v>
      </c>
      <c r="N109" t="s">
        <v>352</v>
      </c>
      <c r="O109" t="s">
        <v>355</v>
      </c>
      <c r="P109">
        <v>246</v>
      </c>
    </row>
    <row r="110" spans="1:16" hidden="1" x14ac:dyDescent="0.25">
      <c r="A110" t="s">
        <v>279</v>
      </c>
      <c r="B110" s="14" t="s">
        <v>995</v>
      </c>
      <c r="C110" s="19" t="s">
        <v>834</v>
      </c>
      <c r="D110" s="19"/>
      <c r="E110" s="14"/>
      <c r="F110">
        <v>-76.327757000000005</v>
      </c>
      <c r="G110">
        <v>42.833739000000001</v>
      </c>
      <c r="H110">
        <v>24</v>
      </c>
      <c r="I110" t="s">
        <v>362</v>
      </c>
      <c r="J110" t="s">
        <v>360</v>
      </c>
      <c r="K110">
        <v>63</v>
      </c>
      <c r="L110" s="16">
        <v>66</v>
      </c>
      <c r="M110">
        <v>2</v>
      </c>
      <c r="N110" t="s">
        <v>352</v>
      </c>
      <c r="O110" t="s">
        <v>355</v>
      </c>
    </row>
    <row r="111" spans="1:16" x14ac:dyDescent="0.25">
      <c r="A111" t="s">
        <v>155</v>
      </c>
      <c r="B111" s="14" t="s">
        <v>996</v>
      </c>
      <c r="C111" s="19">
        <v>0</v>
      </c>
      <c r="D111" s="19"/>
      <c r="E111" s="14"/>
      <c r="F111">
        <v>-76.345883000000001</v>
      </c>
      <c r="G111">
        <v>42.834029000000001</v>
      </c>
      <c r="H111">
        <v>24</v>
      </c>
      <c r="I111" t="s">
        <v>362</v>
      </c>
      <c r="J111" t="s">
        <v>359</v>
      </c>
      <c r="K111">
        <v>169</v>
      </c>
      <c r="L111" s="16">
        <v>180</v>
      </c>
      <c r="M111">
        <v>2</v>
      </c>
      <c r="N111" t="s">
        <v>352</v>
      </c>
      <c r="O111" t="s">
        <v>355</v>
      </c>
      <c r="P111">
        <v>290</v>
      </c>
    </row>
    <row r="112" spans="1:16" hidden="1" x14ac:dyDescent="0.25">
      <c r="A112" t="s">
        <v>280</v>
      </c>
      <c r="B112" s="14" t="s">
        <v>997</v>
      </c>
      <c r="C112" s="19"/>
      <c r="D112" s="19"/>
      <c r="E112" s="14"/>
      <c r="F112">
        <v>-76.345883000000001</v>
      </c>
      <c r="G112">
        <v>42.834029000000001</v>
      </c>
      <c r="H112">
        <v>24</v>
      </c>
      <c r="I112" t="s">
        <v>362</v>
      </c>
      <c r="J112" t="s">
        <v>360</v>
      </c>
      <c r="K112">
        <v>150</v>
      </c>
      <c r="L112" s="16">
        <v>169</v>
      </c>
      <c r="M112">
        <v>2</v>
      </c>
      <c r="N112" t="s">
        <v>352</v>
      </c>
      <c r="O112" t="s">
        <v>355</v>
      </c>
    </row>
    <row r="113" spans="1:16" hidden="1" x14ac:dyDescent="0.25">
      <c r="A113" t="s">
        <v>156</v>
      </c>
      <c r="B113" s="14" t="s">
        <v>998</v>
      </c>
      <c r="C113" s="19"/>
      <c r="D113" s="19"/>
      <c r="E113" s="14"/>
      <c r="F113">
        <v>-76.327793</v>
      </c>
      <c r="G113">
        <v>42.833593</v>
      </c>
      <c r="H113">
        <v>31</v>
      </c>
      <c r="I113" t="s">
        <v>362</v>
      </c>
      <c r="J113" t="s">
        <v>359</v>
      </c>
      <c r="K113">
        <v>332</v>
      </c>
      <c r="L113" s="16">
        <v>386</v>
      </c>
      <c r="M113">
        <v>1</v>
      </c>
      <c r="N113" t="s">
        <v>352</v>
      </c>
      <c r="O113" t="s">
        <v>355</v>
      </c>
      <c r="P113">
        <v>206</v>
      </c>
    </row>
    <row r="114" spans="1:16" hidden="1" x14ac:dyDescent="0.25">
      <c r="A114" t="s">
        <v>281</v>
      </c>
      <c r="B114" s="14" t="s">
        <v>999</v>
      </c>
      <c r="C114" s="19"/>
      <c r="D114" s="19"/>
      <c r="E114" s="14"/>
      <c r="F114">
        <v>-76.327793</v>
      </c>
      <c r="G114">
        <v>42.833593</v>
      </c>
      <c r="H114">
        <v>31</v>
      </c>
      <c r="I114" t="s">
        <v>362</v>
      </c>
      <c r="J114" t="s">
        <v>360</v>
      </c>
      <c r="K114">
        <v>395</v>
      </c>
      <c r="L114" s="16">
        <v>416</v>
      </c>
      <c r="M114">
        <v>2</v>
      </c>
      <c r="N114" t="s">
        <v>352</v>
      </c>
      <c r="O114" t="s">
        <v>355</v>
      </c>
    </row>
    <row r="115" spans="1:16" hidden="1" x14ac:dyDescent="0.25">
      <c r="A115" t="s">
        <v>157</v>
      </c>
      <c r="B115" s="14" t="s">
        <v>1000</v>
      </c>
      <c r="C115" s="19"/>
      <c r="D115" s="19"/>
      <c r="E115" s="14"/>
      <c r="F115">
        <v>-76.345828999999995</v>
      </c>
      <c r="G115">
        <v>42.834248000000002</v>
      </c>
      <c r="H115">
        <v>31</v>
      </c>
      <c r="I115" t="s">
        <v>362</v>
      </c>
      <c r="J115" t="s">
        <v>359</v>
      </c>
      <c r="K115">
        <v>86</v>
      </c>
      <c r="L115" s="16">
        <v>116</v>
      </c>
      <c r="M115">
        <v>2</v>
      </c>
      <c r="N115" t="s">
        <v>352</v>
      </c>
      <c r="O115" t="s">
        <v>355</v>
      </c>
      <c r="P115">
        <v>108</v>
      </c>
    </row>
    <row r="116" spans="1:16" x14ac:dyDescent="0.25">
      <c r="A116" t="s">
        <v>282</v>
      </c>
      <c r="B116" s="14" t="s">
        <v>1001</v>
      </c>
      <c r="C116" s="19">
        <v>0</v>
      </c>
      <c r="D116" s="19"/>
      <c r="E116" s="14"/>
      <c r="F116">
        <v>-76.345828999999995</v>
      </c>
      <c r="G116">
        <v>42.834248000000002</v>
      </c>
      <c r="H116">
        <v>31</v>
      </c>
      <c r="I116" t="s">
        <v>362</v>
      </c>
      <c r="J116" t="s">
        <v>360</v>
      </c>
      <c r="K116">
        <v>223</v>
      </c>
      <c r="L116" s="16">
        <v>188</v>
      </c>
      <c r="M116">
        <v>2</v>
      </c>
      <c r="N116" t="s">
        <v>352</v>
      </c>
      <c r="O116" t="s">
        <v>355</v>
      </c>
    </row>
    <row r="117" spans="1:16" hidden="1" x14ac:dyDescent="0.25">
      <c r="A117" t="s">
        <v>158</v>
      </c>
      <c r="B117" s="14" t="s">
        <v>1002</v>
      </c>
      <c r="C117" s="19"/>
      <c r="D117" s="19"/>
      <c r="E117" s="14"/>
      <c r="F117">
        <v>-76.327748</v>
      </c>
      <c r="G117">
        <v>42.833316000000003</v>
      </c>
      <c r="H117">
        <v>40</v>
      </c>
      <c r="I117" t="s">
        <v>362</v>
      </c>
      <c r="J117" t="s">
        <v>359</v>
      </c>
      <c r="K117">
        <v>429</v>
      </c>
      <c r="L117" s="16">
        <v>446</v>
      </c>
      <c r="M117">
        <v>2</v>
      </c>
      <c r="N117" t="s">
        <v>352</v>
      </c>
      <c r="O117" t="s">
        <v>355</v>
      </c>
      <c r="P117">
        <v>333</v>
      </c>
    </row>
    <row r="118" spans="1:16" hidden="1" x14ac:dyDescent="0.25">
      <c r="A118" t="s">
        <v>283</v>
      </c>
      <c r="B118" s="14" t="s">
        <v>1003</v>
      </c>
      <c r="C118" s="19"/>
      <c r="D118" s="19"/>
      <c r="E118" s="14"/>
      <c r="F118">
        <v>-76.327748</v>
      </c>
      <c r="G118">
        <v>42.833316000000003</v>
      </c>
      <c r="H118">
        <v>40</v>
      </c>
      <c r="I118" t="s">
        <v>362</v>
      </c>
      <c r="J118" t="s">
        <v>360</v>
      </c>
      <c r="K118">
        <v>288</v>
      </c>
      <c r="L118" s="16">
        <v>301</v>
      </c>
      <c r="M118">
        <v>2</v>
      </c>
      <c r="N118" t="s">
        <v>352</v>
      </c>
      <c r="O118" t="s">
        <v>355</v>
      </c>
    </row>
    <row r="119" spans="1:16" x14ac:dyDescent="0.25">
      <c r="A119" t="s">
        <v>245</v>
      </c>
      <c r="B119" s="14" t="s">
        <v>1004</v>
      </c>
      <c r="C119" s="19">
        <v>0</v>
      </c>
      <c r="D119" s="19"/>
      <c r="E119" s="14"/>
      <c r="F119">
        <v>-76.345820000000003</v>
      </c>
      <c r="G119">
        <v>42.834347000000001</v>
      </c>
      <c r="H119">
        <v>40</v>
      </c>
      <c r="I119" t="s">
        <v>362</v>
      </c>
      <c r="J119" t="s">
        <v>359</v>
      </c>
      <c r="K119">
        <v>292</v>
      </c>
      <c r="L119" s="16">
        <v>296</v>
      </c>
      <c r="M119">
        <v>2</v>
      </c>
      <c r="N119" t="s">
        <v>352</v>
      </c>
      <c r="O119" t="s">
        <v>355</v>
      </c>
      <c r="P119">
        <v>0</v>
      </c>
    </row>
    <row r="120" spans="1:16" hidden="1" x14ac:dyDescent="0.25">
      <c r="A120" t="s">
        <v>284</v>
      </c>
      <c r="B120" s="14" t="s">
        <v>1005</v>
      </c>
      <c r="C120" s="19"/>
      <c r="D120" s="19"/>
      <c r="E120" s="14"/>
      <c r="F120">
        <v>-76.345820000000003</v>
      </c>
      <c r="G120">
        <v>42.834347000000001</v>
      </c>
      <c r="H120">
        <v>40</v>
      </c>
      <c r="I120" t="s">
        <v>362</v>
      </c>
      <c r="J120" t="s">
        <v>360</v>
      </c>
      <c r="K120">
        <v>160</v>
      </c>
      <c r="L120" s="16">
        <v>188</v>
      </c>
      <c r="M120">
        <v>2</v>
      </c>
      <c r="N120" t="s">
        <v>352</v>
      </c>
      <c r="O120" t="s">
        <v>355</v>
      </c>
    </row>
    <row r="121" spans="1:16" x14ac:dyDescent="0.25">
      <c r="A121" t="s">
        <v>159</v>
      </c>
      <c r="B121" s="14" t="s">
        <v>1006</v>
      </c>
      <c r="C121" s="19">
        <v>0</v>
      </c>
      <c r="D121" s="19"/>
      <c r="E121" s="14"/>
      <c r="F121">
        <v>-76.327577000000005</v>
      </c>
      <c r="G121">
        <v>42.833117000000001</v>
      </c>
      <c r="H121">
        <v>45</v>
      </c>
      <c r="I121" t="s">
        <v>362</v>
      </c>
      <c r="J121" t="s">
        <v>359</v>
      </c>
      <c r="K121">
        <v>254</v>
      </c>
      <c r="L121" s="16">
        <v>349</v>
      </c>
      <c r="M121">
        <v>1</v>
      </c>
      <c r="N121" t="s">
        <v>352</v>
      </c>
      <c r="O121" t="s">
        <v>355</v>
      </c>
      <c r="P121">
        <v>91</v>
      </c>
    </row>
    <row r="122" spans="1:16" hidden="1" x14ac:dyDescent="0.25">
      <c r="A122" t="s">
        <v>285</v>
      </c>
      <c r="B122" s="14" t="s">
        <v>1007</v>
      </c>
      <c r="C122" s="19"/>
      <c r="D122" s="19"/>
      <c r="E122" s="14"/>
      <c r="F122">
        <v>-76.327577000000005</v>
      </c>
      <c r="G122">
        <v>42.833117000000001</v>
      </c>
      <c r="H122">
        <v>45</v>
      </c>
      <c r="I122" t="s">
        <v>362</v>
      </c>
      <c r="J122" t="s">
        <v>360</v>
      </c>
      <c r="K122">
        <v>213</v>
      </c>
      <c r="L122" s="16">
        <v>236</v>
      </c>
      <c r="M122">
        <v>2</v>
      </c>
      <c r="N122" t="s">
        <v>352</v>
      </c>
      <c r="O122" t="s">
        <v>355</v>
      </c>
    </row>
    <row r="123" spans="1:16" hidden="1" x14ac:dyDescent="0.25">
      <c r="A123" t="s">
        <v>160</v>
      </c>
      <c r="B123" s="14" t="s">
        <v>1008</v>
      </c>
      <c r="C123" s="19"/>
      <c r="D123" s="19"/>
      <c r="E123" s="14"/>
      <c r="F123">
        <v>-76.345738999999995</v>
      </c>
      <c r="G123">
        <v>42.834465999999999</v>
      </c>
      <c r="H123">
        <v>45</v>
      </c>
      <c r="I123" t="s">
        <v>362</v>
      </c>
      <c r="J123" t="s">
        <v>359</v>
      </c>
      <c r="K123">
        <v>60</v>
      </c>
      <c r="L123" s="16">
        <v>54</v>
      </c>
      <c r="M123">
        <v>2</v>
      </c>
      <c r="N123" t="s">
        <v>352</v>
      </c>
      <c r="O123" t="s">
        <v>355</v>
      </c>
      <c r="P123">
        <v>3</v>
      </c>
    </row>
    <row r="124" spans="1:16" x14ac:dyDescent="0.25">
      <c r="A124" t="s">
        <v>286</v>
      </c>
      <c r="B124" s="14" t="s">
        <v>1009</v>
      </c>
      <c r="C124" s="19">
        <v>0</v>
      </c>
      <c r="D124" s="19"/>
      <c r="E124" s="14"/>
      <c r="F124">
        <v>-76.345738999999995</v>
      </c>
      <c r="G124">
        <v>42.834465999999999</v>
      </c>
      <c r="H124">
        <v>45</v>
      </c>
      <c r="I124" t="s">
        <v>362</v>
      </c>
      <c r="J124" t="s">
        <v>360</v>
      </c>
      <c r="K124">
        <v>94</v>
      </c>
      <c r="L124" s="16">
        <v>80</v>
      </c>
      <c r="M124">
        <v>1</v>
      </c>
      <c r="N124" t="s">
        <v>352</v>
      </c>
      <c r="O124" t="s">
        <v>355</v>
      </c>
    </row>
    <row r="125" spans="1:16" hidden="1" x14ac:dyDescent="0.25">
      <c r="A125" t="s">
        <v>161</v>
      </c>
      <c r="B125" s="14" t="s">
        <v>1010</v>
      </c>
      <c r="C125" s="19"/>
      <c r="D125" s="19"/>
      <c r="E125" s="14"/>
      <c r="F125">
        <v>-76.327667000000005</v>
      </c>
      <c r="G125">
        <v>42.833018000000003</v>
      </c>
      <c r="H125">
        <v>52</v>
      </c>
      <c r="I125" t="s">
        <v>362</v>
      </c>
      <c r="J125" t="s">
        <v>359</v>
      </c>
      <c r="K125">
        <v>140</v>
      </c>
      <c r="L125" s="16">
        <v>158</v>
      </c>
      <c r="M125">
        <v>1</v>
      </c>
      <c r="N125" t="s">
        <v>352</v>
      </c>
      <c r="O125" t="s">
        <v>355</v>
      </c>
      <c r="P125">
        <v>134</v>
      </c>
    </row>
    <row r="126" spans="1:16" x14ac:dyDescent="0.25">
      <c r="A126" t="s">
        <v>287</v>
      </c>
      <c r="B126" s="14" t="s">
        <v>1011</v>
      </c>
      <c r="C126" s="19">
        <v>0</v>
      </c>
      <c r="D126" s="19"/>
      <c r="E126" s="14"/>
      <c r="F126">
        <v>-76.327667000000005</v>
      </c>
      <c r="G126">
        <v>42.833018000000003</v>
      </c>
      <c r="H126">
        <v>52</v>
      </c>
      <c r="I126" t="s">
        <v>362</v>
      </c>
      <c r="J126" t="s">
        <v>360</v>
      </c>
      <c r="K126">
        <v>163</v>
      </c>
      <c r="L126" s="16">
        <v>172</v>
      </c>
      <c r="M126">
        <v>2</v>
      </c>
      <c r="N126" t="s">
        <v>352</v>
      </c>
      <c r="O126" t="s">
        <v>355</v>
      </c>
    </row>
    <row r="127" spans="1:16" x14ac:dyDescent="0.25">
      <c r="A127" t="s">
        <v>162</v>
      </c>
      <c r="B127" s="14" t="s">
        <v>1012</v>
      </c>
      <c r="C127" s="19">
        <v>0</v>
      </c>
      <c r="D127" s="19"/>
      <c r="E127" s="14"/>
      <c r="F127">
        <v>-76.345568</v>
      </c>
      <c r="G127">
        <v>42.834631000000002</v>
      </c>
      <c r="H127">
        <v>54</v>
      </c>
      <c r="I127" t="s">
        <v>362</v>
      </c>
      <c r="J127" t="s">
        <v>359</v>
      </c>
      <c r="K127">
        <v>144</v>
      </c>
      <c r="L127" s="16">
        <v>161</v>
      </c>
      <c r="M127">
        <v>2</v>
      </c>
      <c r="N127" t="s">
        <v>352</v>
      </c>
      <c r="O127" t="s">
        <v>355</v>
      </c>
      <c r="P127">
        <v>28</v>
      </c>
    </row>
    <row r="128" spans="1:16" x14ac:dyDescent="0.25">
      <c r="A128" t="s">
        <v>288</v>
      </c>
      <c r="B128" s="14" t="s">
        <v>1013</v>
      </c>
      <c r="C128" s="19">
        <v>0</v>
      </c>
      <c r="D128" s="19"/>
      <c r="E128" s="14"/>
      <c r="F128">
        <v>-76.345568</v>
      </c>
      <c r="G128">
        <v>42.834631000000002</v>
      </c>
      <c r="H128">
        <v>54</v>
      </c>
      <c r="I128" t="s">
        <v>362</v>
      </c>
      <c r="J128" t="s">
        <v>360</v>
      </c>
      <c r="K128">
        <v>97</v>
      </c>
      <c r="L128" s="16">
        <v>106</v>
      </c>
      <c r="M128">
        <v>2</v>
      </c>
      <c r="N128" t="s">
        <v>352</v>
      </c>
      <c r="O128" t="s">
        <v>355</v>
      </c>
    </row>
    <row r="129" spans="1:16" hidden="1" x14ac:dyDescent="0.25">
      <c r="A129" t="s">
        <v>171</v>
      </c>
      <c r="B129" s="14" t="s">
        <v>1014</v>
      </c>
      <c r="C129" s="19"/>
      <c r="D129" s="19"/>
      <c r="E129" s="19"/>
      <c r="F129">
        <v>-76.309956</v>
      </c>
      <c r="G129">
        <v>42.808920000000001</v>
      </c>
      <c r="H129">
        <v>1</v>
      </c>
      <c r="I129" t="s">
        <v>363</v>
      </c>
      <c r="J129" t="s">
        <v>359</v>
      </c>
      <c r="K129">
        <v>73</v>
      </c>
      <c r="L129" s="16">
        <v>64</v>
      </c>
      <c r="M129">
        <v>1</v>
      </c>
      <c r="N129" t="s">
        <v>357</v>
      </c>
      <c r="O129" t="s">
        <v>355</v>
      </c>
      <c r="P129">
        <v>67</v>
      </c>
    </row>
    <row r="130" spans="1:16" hidden="1" x14ac:dyDescent="0.25">
      <c r="A130" t="s">
        <v>289</v>
      </c>
      <c r="B130" s="14" t="s">
        <v>1015</v>
      </c>
      <c r="C130" s="19"/>
      <c r="D130" s="19"/>
      <c r="E130" s="19"/>
      <c r="F130">
        <v>-76.309956</v>
      </c>
      <c r="G130">
        <v>42.808920000000001</v>
      </c>
      <c r="H130">
        <v>1</v>
      </c>
      <c r="I130" t="s">
        <v>363</v>
      </c>
      <c r="J130" t="s">
        <v>360</v>
      </c>
      <c r="K130">
        <v>59</v>
      </c>
      <c r="L130" s="16">
        <v>48</v>
      </c>
      <c r="M130">
        <v>0</v>
      </c>
      <c r="N130" t="s">
        <v>357</v>
      </c>
      <c r="O130" t="s">
        <v>355</v>
      </c>
    </row>
    <row r="131" spans="1:16" hidden="1" x14ac:dyDescent="0.25">
      <c r="A131" t="s">
        <v>50</v>
      </c>
      <c r="B131" s="14"/>
      <c r="C131" s="19"/>
      <c r="D131" s="19"/>
      <c r="E131" s="19" t="s">
        <v>1102</v>
      </c>
      <c r="F131">
        <v>-76.309730500000001</v>
      </c>
      <c r="G131">
        <v>42.808940499999999</v>
      </c>
      <c r="H131">
        <v>3</v>
      </c>
      <c r="I131" t="s">
        <v>363</v>
      </c>
      <c r="J131" t="s">
        <v>359</v>
      </c>
      <c r="K131">
        <v>0</v>
      </c>
      <c r="L131" s="16"/>
      <c r="M131">
        <v>0</v>
      </c>
      <c r="N131" t="s">
        <v>352</v>
      </c>
      <c r="O131" t="s">
        <v>356</v>
      </c>
      <c r="P131">
        <v>115</v>
      </c>
    </row>
    <row r="132" spans="1:16" hidden="1" x14ac:dyDescent="0.25">
      <c r="A132" t="s">
        <v>331</v>
      </c>
      <c r="B132" s="14"/>
      <c r="C132" s="19"/>
      <c r="D132" s="19"/>
      <c r="E132" s="19" t="s">
        <v>1102</v>
      </c>
      <c r="F132">
        <v>-76.309730500000001</v>
      </c>
      <c r="G132">
        <v>42.808940499999999</v>
      </c>
      <c r="H132">
        <v>3</v>
      </c>
      <c r="I132" t="s">
        <v>363</v>
      </c>
      <c r="J132" t="s">
        <v>360</v>
      </c>
      <c r="K132">
        <v>0</v>
      </c>
      <c r="L132" s="16"/>
      <c r="M132">
        <v>0</v>
      </c>
      <c r="N132" t="s">
        <v>352</v>
      </c>
      <c r="O132" t="s">
        <v>356</v>
      </c>
    </row>
    <row r="133" spans="1:16" hidden="1" x14ac:dyDescent="0.25">
      <c r="A133" t="s">
        <v>52</v>
      </c>
      <c r="B133" s="14"/>
      <c r="C133" s="19"/>
      <c r="D133" s="19"/>
      <c r="E133" s="19" t="s">
        <v>1102</v>
      </c>
      <c r="F133">
        <v>-76.309663999999998</v>
      </c>
      <c r="G133">
        <v>42.809136333333299</v>
      </c>
      <c r="H133">
        <v>5</v>
      </c>
      <c r="I133" t="s">
        <v>363</v>
      </c>
      <c r="J133" t="s">
        <v>359</v>
      </c>
      <c r="K133">
        <v>0</v>
      </c>
      <c r="L133" s="16"/>
      <c r="M133">
        <v>0</v>
      </c>
      <c r="N133" t="s">
        <v>352</v>
      </c>
      <c r="O133" t="s">
        <v>356</v>
      </c>
      <c r="P133">
        <v>55</v>
      </c>
    </row>
    <row r="134" spans="1:16" hidden="1" x14ac:dyDescent="0.25">
      <c r="A134" t="s">
        <v>332</v>
      </c>
      <c r="B134" s="14"/>
      <c r="C134" s="19"/>
      <c r="D134" s="19"/>
      <c r="E134" s="19" t="s">
        <v>1102</v>
      </c>
      <c r="F134">
        <v>-76.309663999999998</v>
      </c>
      <c r="G134">
        <v>42.809136333333299</v>
      </c>
      <c r="H134">
        <v>5</v>
      </c>
      <c r="I134" t="s">
        <v>363</v>
      </c>
      <c r="J134" t="s">
        <v>360</v>
      </c>
      <c r="K134">
        <v>0</v>
      </c>
      <c r="L134" s="16"/>
      <c r="M134">
        <v>2</v>
      </c>
      <c r="N134" t="s">
        <v>352</v>
      </c>
      <c r="O134" t="s">
        <v>356</v>
      </c>
    </row>
    <row r="135" spans="1:16" x14ac:dyDescent="0.25">
      <c r="A135" t="s">
        <v>53</v>
      </c>
      <c r="B135" s="14" t="s">
        <v>1016</v>
      </c>
      <c r="C135" s="19">
        <v>0</v>
      </c>
      <c r="D135" s="19"/>
      <c r="E135" s="19"/>
      <c r="F135">
        <v>-76.294479999999993</v>
      </c>
      <c r="G135">
        <v>42.811017</v>
      </c>
      <c r="H135">
        <v>8</v>
      </c>
      <c r="I135" t="s">
        <v>363</v>
      </c>
      <c r="J135" t="s">
        <v>359</v>
      </c>
      <c r="K135">
        <v>93</v>
      </c>
      <c r="L135" s="16">
        <v>117</v>
      </c>
      <c r="M135">
        <v>0</v>
      </c>
      <c r="N135" t="s">
        <v>352</v>
      </c>
      <c r="O135" t="s">
        <v>354</v>
      </c>
      <c r="P135">
        <v>540</v>
      </c>
    </row>
    <row r="136" spans="1:16" hidden="1" x14ac:dyDescent="0.25">
      <c r="A136" t="s">
        <v>54</v>
      </c>
      <c r="B136" s="14"/>
      <c r="C136" s="19"/>
      <c r="D136" s="19"/>
      <c r="E136" s="19" t="s">
        <v>1104</v>
      </c>
      <c r="F136">
        <v>-76.309595000000002</v>
      </c>
      <c r="G136">
        <v>42.809291000000002</v>
      </c>
      <c r="H136">
        <v>8</v>
      </c>
      <c r="I136" t="s">
        <v>363</v>
      </c>
      <c r="J136" t="s">
        <v>359</v>
      </c>
      <c r="K136">
        <v>0</v>
      </c>
      <c r="L136" s="16"/>
      <c r="M136">
        <v>0</v>
      </c>
      <c r="N136" t="s">
        <v>352</v>
      </c>
      <c r="O136" t="s">
        <v>356</v>
      </c>
      <c r="P136">
        <v>316</v>
      </c>
    </row>
    <row r="137" spans="1:16" hidden="1" x14ac:dyDescent="0.25">
      <c r="A137" t="s">
        <v>333</v>
      </c>
      <c r="B137" s="14"/>
      <c r="C137" s="19"/>
      <c r="D137" s="19"/>
      <c r="E137" s="19" t="s">
        <v>1104</v>
      </c>
      <c r="F137">
        <v>-76.309595000000002</v>
      </c>
      <c r="G137">
        <v>42.809291000000002</v>
      </c>
      <c r="H137">
        <v>8</v>
      </c>
      <c r="I137" t="s">
        <v>363</v>
      </c>
      <c r="J137" t="s">
        <v>360</v>
      </c>
      <c r="K137">
        <v>44</v>
      </c>
      <c r="L137" s="16"/>
      <c r="M137">
        <v>0</v>
      </c>
      <c r="N137" t="s">
        <v>352</v>
      </c>
      <c r="O137" t="s">
        <v>356</v>
      </c>
    </row>
    <row r="138" spans="1:16" hidden="1" x14ac:dyDescent="0.25">
      <c r="A138" t="s">
        <v>173</v>
      </c>
      <c r="B138" s="14" t="s">
        <v>1017</v>
      </c>
      <c r="C138" s="19"/>
      <c r="D138" s="19"/>
      <c r="E138" s="19"/>
      <c r="F138">
        <v>-76.309424000000007</v>
      </c>
      <c r="G138">
        <v>42.809382999999997</v>
      </c>
      <c r="H138">
        <v>12</v>
      </c>
      <c r="I138" t="s">
        <v>363</v>
      </c>
      <c r="J138" t="s">
        <v>359</v>
      </c>
      <c r="K138">
        <v>56</v>
      </c>
      <c r="L138" s="16">
        <v>62</v>
      </c>
      <c r="M138">
        <v>1</v>
      </c>
      <c r="N138" t="s">
        <v>352</v>
      </c>
      <c r="O138" t="s">
        <v>355</v>
      </c>
      <c r="P138">
        <v>58</v>
      </c>
    </row>
    <row r="139" spans="1:16" hidden="1" x14ac:dyDescent="0.25">
      <c r="A139" t="s">
        <v>290</v>
      </c>
      <c r="B139" s="14" t="s">
        <v>1018</v>
      </c>
      <c r="C139" s="19"/>
      <c r="D139" s="19"/>
      <c r="E139" s="19"/>
      <c r="F139">
        <v>-76.309424000000007</v>
      </c>
      <c r="G139">
        <v>42.809382999999997</v>
      </c>
      <c r="H139">
        <v>12</v>
      </c>
      <c r="I139" t="s">
        <v>363</v>
      </c>
      <c r="J139" t="s">
        <v>360</v>
      </c>
      <c r="K139">
        <v>103</v>
      </c>
      <c r="L139" s="16">
        <v>131</v>
      </c>
      <c r="M139">
        <v>2</v>
      </c>
      <c r="N139" t="s">
        <v>352</v>
      </c>
      <c r="O139" t="s">
        <v>355</v>
      </c>
    </row>
    <row r="140" spans="1:16" hidden="1" x14ac:dyDescent="0.25">
      <c r="A140" t="s">
        <v>175</v>
      </c>
      <c r="B140" s="14" t="s">
        <v>1019</v>
      </c>
      <c r="C140" s="19" t="s">
        <v>834</v>
      </c>
      <c r="D140" s="19"/>
      <c r="E140" s="19"/>
      <c r="F140">
        <v>-76.309289000000007</v>
      </c>
      <c r="G140">
        <v>42.809323999999997</v>
      </c>
      <c r="H140">
        <v>14</v>
      </c>
      <c r="I140" t="s">
        <v>363</v>
      </c>
      <c r="J140" t="s">
        <v>359</v>
      </c>
      <c r="K140">
        <v>160</v>
      </c>
      <c r="L140" s="16">
        <v>184</v>
      </c>
      <c r="M140">
        <v>0</v>
      </c>
      <c r="N140" t="s">
        <v>352</v>
      </c>
      <c r="O140" t="s">
        <v>355</v>
      </c>
      <c r="P140">
        <v>101</v>
      </c>
    </row>
    <row r="141" spans="1:16" hidden="1" x14ac:dyDescent="0.25">
      <c r="A141" t="s">
        <v>334</v>
      </c>
      <c r="B141" s="14" t="s">
        <v>1094</v>
      </c>
      <c r="C141" s="19"/>
      <c r="D141" s="19"/>
      <c r="E141" s="19" t="s">
        <v>1102</v>
      </c>
      <c r="F141">
        <v>-76.309289000000007</v>
      </c>
      <c r="G141">
        <v>42.809323999999997</v>
      </c>
      <c r="H141">
        <v>14</v>
      </c>
      <c r="I141" t="s">
        <v>363</v>
      </c>
      <c r="J141" t="s">
        <v>360</v>
      </c>
      <c r="K141">
        <v>26</v>
      </c>
      <c r="L141" s="16"/>
      <c r="M141">
        <v>0</v>
      </c>
      <c r="N141" t="s">
        <v>352</v>
      </c>
      <c r="O141" t="s">
        <v>353</v>
      </c>
    </row>
    <row r="142" spans="1:16" hidden="1" x14ac:dyDescent="0.25">
      <c r="A142" t="s">
        <v>176</v>
      </c>
      <c r="B142" s="14" t="s">
        <v>1020</v>
      </c>
      <c r="C142" s="19" t="s">
        <v>834</v>
      </c>
      <c r="D142" s="19"/>
      <c r="E142" s="19"/>
      <c r="F142">
        <v>-76.309134999999998</v>
      </c>
      <c r="G142">
        <v>42.809303999999997</v>
      </c>
      <c r="H142">
        <v>17</v>
      </c>
      <c r="I142" t="s">
        <v>363</v>
      </c>
      <c r="J142" t="s">
        <v>359</v>
      </c>
      <c r="K142">
        <v>99</v>
      </c>
      <c r="L142" s="16">
        <v>108</v>
      </c>
      <c r="M142">
        <v>2</v>
      </c>
      <c r="N142" t="s">
        <v>352</v>
      </c>
      <c r="O142" t="s">
        <v>355</v>
      </c>
      <c r="P142">
        <v>190</v>
      </c>
    </row>
    <row r="143" spans="1:16" hidden="1" x14ac:dyDescent="0.25">
      <c r="A143" t="s">
        <v>291</v>
      </c>
      <c r="B143" s="14" t="s">
        <v>1021</v>
      </c>
      <c r="C143" s="19" t="s">
        <v>834</v>
      </c>
      <c r="D143" s="19"/>
      <c r="E143" s="19"/>
      <c r="F143">
        <v>-76.309134999999998</v>
      </c>
      <c r="G143">
        <v>42.809303999999997</v>
      </c>
      <c r="H143">
        <v>17</v>
      </c>
      <c r="I143" t="s">
        <v>363</v>
      </c>
      <c r="J143" t="s">
        <v>360</v>
      </c>
      <c r="K143">
        <v>122</v>
      </c>
      <c r="L143" s="16">
        <v>133</v>
      </c>
      <c r="M143">
        <v>2</v>
      </c>
      <c r="N143" t="s">
        <v>352</v>
      </c>
      <c r="O143" t="s">
        <v>355</v>
      </c>
    </row>
    <row r="144" spans="1:16" x14ac:dyDescent="0.25">
      <c r="A144" t="s">
        <v>177</v>
      </c>
      <c r="B144" s="14" t="s">
        <v>1022</v>
      </c>
      <c r="C144" s="19">
        <v>0</v>
      </c>
      <c r="D144" s="19"/>
      <c r="E144" s="19"/>
      <c r="F144">
        <v>-76.293622999999997</v>
      </c>
      <c r="G144">
        <v>42.809680999999998</v>
      </c>
      <c r="H144">
        <v>24</v>
      </c>
      <c r="I144" t="s">
        <v>363</v>
      </c>
      <c r="J144" t="s">
        <v>359</v>
      </c>
      <c r="K144">
        <v>575</v>
      </c>
      <c r="L144" s="16">
        <v>648</v>
      </c>
      <c r="M144">
        <v>2</v>
      </c>
      <c r="N144" t="s">
        <v>352</v>
      </c>
      <c r="O144" t="s">
        <v>355</v>
      </c>
      <c r="P144">
        <v>96</v>
      </c>
    </row>
    <row r="145" spans="1:16" hidden="1" x14ac:dyDescent="0.25">
      <c r="A145" t="s">
        <v>178</v>
      </c>
      <c r="B145" s="14" t="s">
        <v>1023</v>
      </c>
      <c r="C145" s="19"/>
      <c r="D145" s="19"/>
      <c r="E145" s="14"/>
      <c r="F145">
        <v>-76.308937</v>
      </c>
      <c r="G145">
        <v>42.809263999999999</v>
      </c>
      <c r="H145">
        <v>24</v>
      </c>
      <c r="I145" t="s">
        <v>363</v>
      </c>
      <c r="J145" t="s">
        <v>359</v>
      </c>
      <c r="K145">
        <v>186</v>
      </c>
      <c r="L145" s="16">
        <v>171</v>
      </c>
      <c r="M145">
        <v>1</v>
      </c>
      <c r="N145" t="s">
        <v>352</v>
      </c>
      <c r="O145" t="s">
        <v>355</v>
      </c>
      <c r="P145">
        <v>23</v>
      </c>
    </row>
    <row r="146" spans="1:16" x14ac:dyDescent="0.25">
      <c r="A146" t="s">
        <v>292</v>
      </c>
      <c r="B146" s="14" t="s">
        <v>1024</v>
      </c>
      <c r="C146" s="19">
        <v>0</v>
      </c>
      <c r="D146" s="19"/>
      <c r="E146" s="14"/>
      <c r="F146">
        <v>-76.308937</v>
      </c>
      <c r="G146">
        <v>42.809263999999999</v>
      </c>
      <c r="H146">
        <v>24</v>
      </c>
      <c r="I146" t="s">
        <v>363</v>
      </c>
      <c r="J146" t="s">
        <v>360</v>
      </c>
      <c r="K146">
        <v>187</v>
      </c>
      <c r="L146" s="16">
        <v>168</v>
      </c>
      <c r="M146">
        <v>1</v>
      </c>
      <c r="N146" t="s">
        <v>352</v>
      </c>
      <c r="O146" t="s">
        <v>355</v>
      </c>
    </row>
    <row r="147" spans="1:16" hidden="1" x14ac:dyDescent="0.25">
      <c r="A147" t="s">
        <v>293</v>
      </c>
      <c r="B147" s="14" t="s">
        <v>1025</v>
      </c>
      <c r="C147" s="19"/>
      <c r="D147" s="19"/>
      <c r="E147" s="14"/>
      <c r="F147">
        <v>-76.308739000000003</v>
      </c>
      <c r="G147">
        <v>42.809251000000003</v>
      </c>
      <c r="H147">
        <v>30</v>
      </c>
      <c r="I147" t="s">
        <v>363</v>
      </c>
      <c r="J147" t="s">
        <v>359</v>
      </c>
      <c r="K147">
        <v>292</v>
      </c>
      <c r="L147" s="16">
        <v>313</v>
      </c>
      <c r="M147">
        <v>1</v>
      </c>
      <c r="N147" t="s">
        <v>352</v>
      </c>
      <c r="O147" t="s">
        <v>355</v>
      </c>
      <c r="P147">
        <v>129</v>
      </c>
    </row>
    <row r="148" spans="1:16" hidden="1" x14ac:dyDescent="0.25">
      <c r="A148" t="s">
        <v>294</v>
      </c>
      <c r="B148" s="14" t="s">
        <v>1026</v>
      </c>
      <c r="C148" s="19"/>
      <c r="D148" s="19"/>
      <c r="E148" s="14"/>
      <c r="F148">
        <v>-76.308739000000003</v>
      </c>
      <c r="G148">
        <v>42.809251000000003</v>
      </c>
      <c r="H148">
        <v>30</v>
      </c>
      <c r="I148" t="s">
        <v>363</v>
      </c>
      <c r="J148" t="s">
        <v>360</v>
      </c>
      <c r="K148">
        <v>162</v>
      </c>
      <c r="L148" s="16">
        <v>183</v>
      </c>
      <c r="M148">
        <v>1</v>
      </c>
      <c r="N148" t="s">
        <v>352</v>
      </c>
      <c r="O148" t="s">
        <v>355</v>
      </c>
    </row>
    <row r="149" spans="1:16" hidden="1" x14ac:dyDescent="0.25">
      <c r="A149" t="s">
        <v>179</v>
      </c>
      <c r="B149" s="14" t="s">
        <v>1027</v>
      </c>
      <c r="C149" s="19"/>
      <c r="D149" s="19"/>
      <c r="E149" s="14"/>
      <c r="F149">
        <v>-76.293777000000006</v>
      </c>
      <c r="G149">
        <v>42.809516000000002</v>
      </c>
      <c r="H149">
        <v>31</v>
      </c>
      <c r="I149" t="s">
        <v>363</v>
      </c>
      <c r="J149" t="s">
        <v>359</v>
      </c>
      <c r="K149">
        <v>167</v>
      </c>
      <c r="L149" s="16">
        <v>146</v>
      </c>
      <c r="M149">
        <v>2</v>
      </c>
      <c r="N149" t="s">
        <v>352</v>
      </c>
      <c r="O149" t="s">
        <v>355</v>
      </c>
      <c r="P149">
        <v>40</v>
      </c>
    </row>
    <row r="150" spans="1:16" hidden="1" x14ac:dyDescent="0.25">
      <c r="A150" t="s">
        <v>180</v>
      </c>
      <c r="B150" s="14" t="s">
        <v>1028</v>
      </c>
      <c r="C150" s="19"/>
      <c r="D150" s="19"/>
      <c r="E150" s="14"/>
      <c r="F150">
        <v>-76.308504999999997</v>
      </c>
      <c r="G150">
        <v>42.809263999999999</v>
      </c>
      <c r="H150">
        <v>35</v>
      </c>
      <c r="I150" t="s">
        <v>363</v>
      </c>
      <c r="J150" t="s">
        <v>359</v>
      </c>
      <c r="K150">
        <v>153</v>
      </c>
      <c r="L150" s="16">
        <v>156</v>
      </c>
      <c r="M150">
        <v>2</v>
      </c>
      <c r="N150" t="s">
        <v>352</v>
      </c>
      <c r="O150" t="s">
        <v>355</v>
      </c>
      <c r="P150">
        <v>166</v>
      </c>
    </row>
    <row r="151" spans="1:16" hidden="1" x14ac:dyDescent="0.25">
      <c r="A151" t="s">
        <v>295</v>
      </c>
      <c r="B151" s="14" t="s">
        <v>1029</v>
      </c>
      <c r="C151" s="19"/>
      <c r="D151" s="19"/>
      <c r="E151" s="14"/>
      <c r="F151">
        <v>-76.308504999999997</v>
      </c>
      <c r="G151">
        <v>42.809263999999999</v>
      </c>
      <c r="H151">
        <v>35</v>
      </c>
      <c r="I151" t="s">
        <v>363</v>
      </c>
      <c r="J151" t="s">
        <v>360</v>
      </c>
      <c r="K151">
        <v>130</v>
      </c>
      <c r="L151" s="16">
        <v>144</v>
      </c>
      <c r="M151">
        <v>2</v>
      </c>
      <c r="N151" t="s">
        <v>352</v>
      </c>
      <c r="O151" t="s">
        <v>355</v>
      </c>
    </row>
    <row r="152" spans="1:16" hidden="1" x14ac:dyDescent="0.25">
      <c r="A152" t="s">
        <v>181</v>
      </c>
      <c r="B152" s="14" t="s">
        <v>1030</v>
      </c>
      <c r="C152" s="19"/>
      <c r="D152" s="19"/>
      <c r="E152" s="14"/>
      <c r="F152">
        <v>-76.293858</v>
      </c>
      <c r="G152">
        <v>42.809475999999997</v>
      </c>
      <c r="H152">
        <v>38</v>
      </c>
      <c r="I152" t="s">
        <v>363</v>
      </c>
      <c r="J152" t="s">
        <v>359</v>
      </c>
      <c r="K152">
        <v>124</v>
      </c>
      <c r="L152" s="16">
        <v>128</v>
      </c>
      <c r="M152">
        <v>1</v>
      </c>
      <c r="N152" t="s">
        <v>352</v>
      </c>
      <c r="O152" t="s">
        <v>355</v>
      </c>
      <c r="P152">
        <v>152</v>
      </c>
    </row>
    <row r="153" spans="1:16" hidden="1" x14ac:dyDescent="0.25">
      <c r="A153" t="s">
        <v>182</v>
      </c>
      <c r="B153" s="14" t="s">
        <v>1031</v>
      </c>
      <c r="C153" s="19"/>
      <c r="D153" s="19"/>
      <c r="E153" s="14"/>
      <c r="F153">
        <v>-76.308386999999996</v>
      </c>
      <c r="G153">
        <v>42.809364000000002</v>
      </c>
      <c r="H153">
        <v>43</v>
      </c>
      <c r="I153" t="s">
        <v>363</v>
      </c>
      <c r="J153" t="s">
        <v>359</v>
      </c>
      <c r="K153">
        <v>105</v>
      </c>
      <c r="L153" s="16">
        <v>89</v>
      </c>
      <c r="M153">
        <v>2</v>
      </c>
      <c r="N153" t="s">
        <v>352</v>
      </c>
      <c r="O153" t="s">
        <v>355</v>
      </c>
      <c r="P153">
        <v>185</v>
      </c>
    </row>
    <row r="154" spans="1:16" x14ac:dyDescent="0.25">
      <c r="A154" t="s">
        <v>296</v>
      </c>
      <c r="B154" s="14" t="s">
        <v>1032</v>
      </c>
      <c r="C154" s="19">
        <v>0</v>
      </c>
      <c r="D154" s="19"/>
      <c r="E154" s="14"/>
      <c r="F154">
        <v>-76.308386999999996</v>
      </c>
      <c r="G154">
        <v>42.809364000000002</v>
      </c>
      <c r="H154">
        <v>43</v>
      </c>
      <c r="I154" t="s">
        <v>363</v>
      </c>
      <c r="J154" t="s">
        <v>360</v>
      </c>
      <c r="K154">
        <v>210</v>
      </c>
      <c r="L154" s="16">
        <v>184</v>
      </c>
      <c r="M154">
        <v>2</v>
      </c>
      <c r="N154" t="s">
        <v>352</v>
      </c>
      <c r="O154" t="s">
        <v>355</v>
      </c>
    </row>
    <row r="155" spans="1:16" hidden="1" x14ac:dyDescent="0.25">
      <c r="A155" t="s">
        <v>183</v>
      </c>
      <c r="B155" s="14" t="s">
        <v>1033</v>
      </c>
      <c r="C155" s="19"/>
      <c r="D155" s="19"/>
      <c r="E155" s="14"/>
      <c r="F155">
        <v>-76.294020000000003</v>
      </c>
      <c r="G155">
        <v>42.809443000000002</v>
      </c>
      <c r="H155">
        <v>45</v>
      </c>
      <c r="I155" t="s">
        <v>363</v>
      </c>
      <c r="J155" t="s">
        <v>359</v>
      </c>
      <c r="K155">
        <v>86</v>
      </c>
      <c r="L155" s="16">
        <v>80</v>
      </c>
      <c r="M155">
        <v>1</v>
      </c>
      <c r="N155" t="s">
        <v>352</v>
      </c>
      <c r="O155" t="s">
        <v>355</v>
      </c>
      <c r="P155">
        <v>44</v>
      </c>
    </row>
    <row r="156" spans="1:16" hidden="1" x14ac:dyDescent="0.25">
      <c r="A156" t="s">
        <v>184</v>
      </c>
      <c r="B156" s="14" t="s">
        <v>1034</v>
      </c>
      <c r="C156" s="19"/>
      <c r="D156" s="19"/>
      <c r="E156" s="14"/>
      <c r="F156">
        <v>-76.308134999999993</v>
      </c>
      <c r="G156">
        <v>42.809330000000003</v>
      </c>
      <c r="H156">
        <v>50</v>
      </c>
      <c r="I156" t="s">
        <v>363</v>
      </c>
      <c r="J156" t="s">
        <v>359</v>
      </c>
      <c r="K156">
        <v>123</v>
      </c>
      <c r="L156" s="16">
        <v>136</v>
      </c>
      <c r="M156">
        <v>2</v>
      </c>
      <c r="N156" t="s">
        <v>352</v>
      </c>
      <c r="O156" t="s">
        <v>355</v>
      </c>
      <c r="P156">
        <v>50</v>
      </c>
    </row>
    <row r="157" spans="1:16" x14ac:dyDescent="0.25">
      <c r="A157" t="s">
        <v>185</v>
      </c>
      <c r="B157" s="14" t="s">
        <v>1035</v>
      </c>
      <c r="C157" s="19">
        <v>0</v>
      </c>
      <c r="D157" s="19"/>
      <c r="E157" s="14"/>
      <c r="F157">
        <v>-76.294263000000001</v>
      </c>
      <c r="G157">
        <v>42.809455999999997</v>
      </c>
      <c r="H157">
        <v>52</v>
      </c>
      <c r="I157" t="s">
        <v>363</v>
      </c>
      <c r="J157" t="s">
        <v>359</v>
      </c>
      <c r="K157">
        <v>134</v>
      </c>
      <c r="L157" s="16">
        <v>141</v>
      </c>
      <c r="M157">
        <v>2</v>
      </c>
      <c r="N157" t="s">
        <v>352</v>
      </c>
      <c r="O157" t="s">
        <v>355</v>
      </c>
      <c r="P157">
        <v>86</v>
      </c>
    </row>
    <row r="158" spans="1:16" x14ac:dyDescent="0.25">
      <c r="A158" t="s">
        <v>194</v>
      </c>
      <c r="B158" s="14" t="s">
        <v>1036</v>
      </c>
      <c r="C158" s="19">
        <v>0</v>
      </c>
      <c r="D158" s="19"/>
      <c r="E158" s="14"/>
      <c r="F158">
        <v>-76.270216000000005</v>
      </c>
      <c r="G158">
        <v>42.772196999999998</v>
      </c>
      <c r="H158">
        <v>2</v>
      </c>
      <c r="I158" t="s">
        <v>372</v>
      </c>
      <c r="J158" t="s">
        <v>359</v>
      </c>
      <c r="K158">
        <v>140</v>
      </c>
      <c r="L158" s="16">
        <v>138</v>
      </c>
      <c r="M158">
        <v>2</v>
      </c>
      <c r="N158" t="s">
        <v>357</v>
      </c>
      <c r="O158" t="s">
        <v>355</v>
      </c>
      <c r="P158">
        <v>266</v>
      </c>
    </row>
    <row r="159" spans="1:16" hidden="1" x14ac:dyDescent="0.25">
      <c r="A159" t="s">
        <v>297</v>
      </c>
      <c r="B159" s="14" t="s">
        <v>1037</v>
      </c>
      <c r="C159" s="19" t="s">
        <v>834</v>
      </c>
      <c r="D159" s="19"/>
      <c r="E159" s="14"/>
      <c r="F159">
        <v>-76.270216000000005</v>
      </c>
      <c r="G159">
        <v>42.772196999999998</v>
      </c>
      <c r="H159">
        <v>2</v>
      </c>
      <c r="I159" t="s">
        <v>372</v>
      </c>
      <c r="J159" t="s">
        <v>360</v>
      </c>
      <c r="K159">
        <v>301</v>
      </c>
      <c r="L159" s="16">
        <v>306</v>
      </c>
      <c r="M159">
        <v>2</v>
      </c>
      <c r="N159" t="s">
        <v>357</v>
      </c>
      <c r="O159" t="s">
        <v>355</v>
      </c>
    </row>
    <row r="160" spans="1:16" hidden="1" x14ac:dyDescent="0.25">
      <c r="A160" t="s">
        <v>298</v>
      </c>
      <c r="B160" s="14" t="s">
        <v>1038</v>
      </c>
      <c r="C160" s="19" t="s">
        <v>834</v>
      </c>
      <c r="D160" s="19"/>
      <c r="E160" s="14"/>
      <c r="F160">
        <v>-76.270216000000005</v>
      </c>
      <c r="G160">
        <v>42.772196999999998</v>
      </c>
      <c r="H160">
        <v>2</v>
      </c>
      <c r="I160" t="s">
        <v>372</v>
      </c>
      <c r="J160" t="s">
        <v>366</v>
      </c>
      <c r="K160">
        <v>399</v>
      </c>
      <c r="L160" s="16">
        <v>411</v>
      </c>
      <c r="M160">
        <v>2</v>
      </c>
      <c r="N160" t="s">
        <v>357</v>
      </c>
      <c r="O160" t="s">
        <v>380</v>
      </c>
    </row>
    <row r="161" spans="1:16" hidden="1" x14ac:dyDescent="0.25">
      <c r="A161" t="s">
        <v>195</v>
      </c>
      <c r="B161" s="14" t="s">
        <v>1039</v>
      </c>
      <c r="C161" s="19" t="s">
        <v>834</v>
      </c>
      <c r="D161" s="19"/>
      <c r="E161" s="14"/>
      <c r="F161">
        <v>-76.280788000000001</v>
      </c>
      <c r="G161">
        <v>42.779296000000002</v>
      </c>
      <c r="H161">
        <v>2</v>
      </c>
      <c r="I161" t="s">
        <v>372</v>
      </c>
      <c r="J161" t="s">
        <v>359</v>
      </c>
      <c r="K161">
        <v>129</v>
      </c>
      <c r="L161" s="16">
        <v>147</v>
      </c>
      <c r="M161">
        <v>1</v>
      </c>
      <c r="N161" t="s">
        <v>357</v>
      </c>
      <c r="O161" t="s">
        <v>354</v>
      </c>
      <c r="P161">
        <v>74</v>
      </c>
    </row>
    <row r="162" spans="1:16" x14ac:dyDescent="0.25">
      <c r="A162" t="s">
        <v>299</v>
      </c>
      <c r="B162" s="14" t="s">
        <v>1040</v>
      </c>
      <c r="C162" s="19">
        <v>0</v>
      </c>
      <c r="D162" s="19"/>
      <c r="E162" s="14"/>
      <c r="F162">
        <v>-76.280788000000001</v>
      </c>
      <c r="G162">
        <v>42.779296000000002</v>
      </c>
      <c r="H162">
        <v>2</v>
      </c>
      <c r="I162" t="s">
        <v>372</v>
      </c>
      <c r="J162" t="s">
        <v>360</v>
      </c>
      <c r="K162">
        <v>145</v>
      </c>
      <c r="L162" s="16">
        <v>161</v>
      </c>
      <c r="M162">
        <v>2</v>
      </c>
      <c r="N162" t="s">
        <v>352</v>
      </c>
      <c r="O162" t="s">
        <v>353</v>
      </c>
    </row>
    <row r="163" spans="1:16" x14ac:dyDescent="0.25">
      <c r="A163" t="s">
        <v>196</v>
      </c>
      <c r="B163" s="14" t="s">
        <v>1041</v>
      </c>
      <c r="C163" s="19">
        <v>0</v>
      </c>
      <c r="D163" s="19"/>
      <c r="E163" s="14"/>
      <c r="F163">
        <v>-76.269115999999997</v>
      </c>
      <c r="G163">
        <v>42.779567999999998</v>
      </c>
      <c r="H163">
        <v>3</v>
      </c>
      <c r="I163" t="s">
        <v>372</v>
      </c>
      <c r="J163" t="s">
        <v>359</v>
      </c>
      <c r="K163">
        <v>216</v>
      </c>
      <c r="L163" s="16">
        <v>208</v>
      </c>
      <c r="M163">
        <v>1</v>
      </c>
      <c r="N163" t="s">
        <v>357</v>
      </c>
      <c r="O163" t="s">
        <v>380</v>
      </c>
      <c r="P163">
        <v>1</v>
      </c>
    </row>
    <row r="164" spans="1:16" x14ac:dyDescent="0.25">
      <c r="A164" t="s">
        <v>197</v>
      </c>
      <c r="B164" s="14" t="s">
        <v>1042</v>
      </c>
      <c r="C164" s="19">
        <v>0</v>
      </c>
      <c r="D164" s="19"/>
      <c r="E164" s="14"/>
      <c r="F164">
        <v>-76.280670999999998</v>
      </c>
      <c r="G164">
        <v>42.779349000000003</v>
      </c>
      <c r="H164">
        <v>3</v>
      </c>
      <c r="I164" t="s">
        <v>372</v>
      </c>
      <c r="J164" t="s">
        <v>359</v>
      </c>
      <c r="K164">
        <v>125</v>
      </c>
      <c r="L164" s="16">
        <v>108</v>
      </c>
      <c r="M164">
        <v>1</v>
      </c>
      <c r="N164" t="s">
        <v>352</v>
      </c>
      <c r="O164" t="s">
        <v>355</v>
      </c>
      <c r="P164">
        <v>444</v>
      </c>
    </row>
    <row r="165" spans="1:16" x14ac:dyDescent="0.25">
      <c r="A165" t="s">
        <v>198</v>
      </c>
      <c r="B165" s="14" t="s">
        <v>1043</v>
      </c>
      <c r="C165" s="19">
        <v>0</v>
      </c>
      <c r="D165" s="19"/>
      <c r="E165" s="14"/>
      <c r="F165">
        <v>-76.280670999999998</v>
      </c>
      <c r="G165">
        <v>42.779349000000003</v>
      </c>
      <c r="H165">
        <v>3</v>
      </c>
      <c r="I165" t="s">
        <v>372</v>
      </c>
      <c r="J165" t="s">
        <v>360</v>
      </c>
      <c r="K165">
        <v>112</v>
      </c>
      <c r="L165" s="16">
        <v>131</v>
      </c>
      <c r="M165">
        <v>1</v>
      </c>
      <c r="N165" t="s">
        <v>352</v>
      </c>
      <c r="O165" t="s">
        <v>355</v>
      </c>
      <c r="P165">
        <v>157</v>
      </c>
    </row>
    <row r="166" spans="1:16" x14ac:dyDescent="0.25">
      <c r="A166" t="s">
        <v>199</v>
      </c>
      <c r="B166" s="14" t="s">
        <v>1044</v>
      </c>
      <c r="C166" s="19">
        <v>0</v>
      </c>
      <c r="D166" s="19"/>
      <c r="E166" s="14"/>
      <c r="F166">
        <v>-76.269205999999997</v>
      </c>
      <c r="G166">
        <v>42.779508</v>
      </c>
      <c r="H166">
        <v>5</v>
      </c>
      <c r="I166" t="s">
        <v>372</v>
      </c>
      <c r="J166" t="s">
        <v>359</v>
      </c>
      <c r="K166">
        <v>207</v>
      </c>
      <c r="L166" s="16">
        <v>229</v>
      </c>
      <c r="M166">
        <v>1</v>
      </c>
      <c r="N166" t="s">
        <v>352</v>
      </c>
      <c r="O166" t="s">
        <v>380</v>
      </c>
      <c r="P166">
        <v>152</v>
      </c>
    </row>
    <row r="167" spans="1:16" hidden="1" x14ac:dyDescent="0.25">
      <c r="A167" t="s">
        <v>200</v>
      </c>
      <c r="B167" s="14" t="s">
        <v>1045</v>
      </c>
      <c r="C167" s="19" t="s">
        <v>834</v>
      </c>
      <c r="D167" s="19"/>
      <c r="E167" s="14"/>
      <c r="F167">
        <v>-76.280518000000001</v>
      </c>
      <c r="G167">
        <v>42.779176999999997</v>
      </c>
      <c r="H167">
        <v>5</v>
      </c>
      <c r="I167" t="s">
        <v>372</v>
      </c>
      <c r="J167" t="s">
        <v>359</v>
      </c>
      <c r="K167">
        <v>351</v>
      </c>
      <c r="L167" s="16">
        <v>322</v>
      </c>
      <c r="M167">
        <v>2</v>
      </c>
      <c r="N167" t="s">
        <v>352</v>
      </c>
      <c r="O167" t="s">
        <v>355</v>
      </c>
      <c r="P167">
        <v>131</v>
      </c>
    </row>
    <row r="168" spans="1:16" x14ac:dyDescent="0.25">
      <c r="A168" t="s">
        <v>201</v>
      </c>
      <c r="B168" s="14" t="s">
        <v>1046</v>
      </c>
      <c r="C168" s="19">
        <v>0</v>
      </c>
      <c r="D168" s="19"/>
      <c r="E168" s="14"/>
      <c r="F168">
        <v>-76.269458999999998</v>
      </c>
      <c r="G168">
        <v>42.779494999999997</v>
      </c>
      <c r="H168">
        <v>8</v>
      </c>
      <c r="I168" t="s">
        <v>372</v>
      </c>
      <c r="J168" t="s">
        <v>359</v>
      </c>
      <c r="K168">
        <v>97</v>
      </c>
      <c r="L168" s="16">
        <v>124</v>
      </c>
      <c r="M168">
        <v>2</v>
      </c>
      <c r="N168" t="s">
        <v>352</v>
      </c>
      <c r="O168" t="s">
        <v>353</v>
      </c>
      <c r="P168">
        <v>82</v>
      </c>
    </row>
    <row r="169" spans="1:16" hidden="1" x14ac:dyDescent="0.25">
      <c r="A169" t="s">
        <v>202</v>
      </c>
      <c r="B169" s="14" t="s">
        <v>1047</v>
      </c>
      <c r="C169" s="19" t="s">
        <v>834</v>
      </c>
      <c r="D169" s="19"/>
      <c r="E169" s="14"/>
      <c r="F169">
        <v>-76.280383</v>
      </c>
      <c r="G169">
        <v>42.779131</v>
      </c>
      <c r="H169">
        <v>8</v>
      </c>
      <c r="I169" t="s">
        <v>372</v>
      </c>
      <c r="J169" t="s">
        <v>359</v>
      </c>
      <c r="K169">
        <v>314</v>
      </c>
      <c r="L169" s="16">
        <v>321</v>
      </c>
      <c r="M169">
        <v>1</v>
      </c>
      <c r="N169" t="s">
        <v>352</v>
      </c>
      <c r="O169" t="s">
        <v>355</v>
      </c>
      <c r="P169">
        <v>175</v>
      </c>
    </row>
    <row r="170" spans="1:16" hidden="1" x14ac:dyDescent="0.25">
      <c r="A170" t="s">
        <v>203</v>
      </c>
      <c r="B170" s="14" t="s">
        <v>1048</v>
      </c>
      <c r="C170" s="19" t="s">
        <v>834</v>
      </c>
      <c r="D170" s="19"/>
      <c r="E170" s="14"/>
      <c r="F170">
        <v>-76.269638999999998</v>
      </c>
      <c r="G170">
        <v>42.779521000000003</v>
      </c>
      <c r="H170">
        <v>11</v>
      </c>
      <c r="I170" t="s">
        <v>372</v>
      </c>
      <c r="J170" t="s">
        <v>359</v>
      </c>
      <c r="K170">
        <v>164</v>
      </c>
      <c r="L170" s="16">
        <v>176</v>
      </c>
      <c r="M170">
        <v>1</v>
      </c>
      <c r="N170" t="s">
        <v>352</v>
      </c>
      <c r="O170" t="s">
        <v>355</v>
      </c>
      <c r="P170">
        <v>149</v>
      </c>
    </row>
    <row r="171" spans="1:16" hidden="1" x14ac:dyDescent="0.25">
      <c r="A171" t="s">
        <v>300</v>
      </c>
      <c r="B171" s="14" t="s">
        <v>1049</v>
      </c>
      <c r="C171" s="19" t="s">
        <v>834</v>
      </c>
      <c r="D171" s="19"/>
      <c r="E171" s="14"/>
      <c r="F171">
        <v>-76.280257000000006</v>
      </c>
      <c r="G171">
        <v>42.779316000000001</v>
      </c>
      <c r="H171">
        <v>11</v>
      </c>
      <c r="I171" t="s">
        <v>372</v>
      </c>
      <c r="J171" t="s">
        <v>359</v>
      </c>
      <c r="K171">
        <v>404</v>
      </c>
      <c r="L171" s="16">
        <v>391</v>
      </c>
      <c r="M171">
        <v>2</v>
      </c>
      <c r="N171" t="s">
        <v>352</v>
      </c>
      <c r="O171" t="s">
        <v>355</v>
      </c>
    </row>
    <row r="172" spans="1:16" hidden="1" x14ac:dyDescent="0.25">
      <c r="A172" t="s">
        <v>204</v>
      </c>
      <c r="B172" s="14" t="s">
        <v>1050</v>
      </c>
      <c r="C172" s="19" t="s">
        <v>834</v>
      </c>
      <c r="D172" s="19"/>
      <c r="E172" s="14"/>
      <c r="F172">
        <v>-76.269675000000007</v>
      </c>
      <c r="G172">
        <v>42.779501000000003</v>
      </c>
      <c r="H172">
        <v>14</v>
      </c>
      <c r="I172" t="s">
        <v>372</v>
      </c>
      <c r="J172" t="s">
        <v>359</v>
      </c>
      <c r="K172">
        <v>183</v>
      </c>
      <c r="L172" s="16">
        <v>196</v>
      </c>
      <c r="M172">
        <v>1</v>
      </c>
      <c r="N172" t="s">
        <v>352</v>
      </c>
      <c r="O172" t="s">
        <v>355</v>
      </c>
      <c r="P172">
        <v>81</v>
      </c>
    </row>
    <row r="173" spans="1:16" hidden="1" x14ac:dyDescent="0.25">
      <c r="A173" t="s">
        <v>205</v>
      </c>
      <c r="B173" s="14" t="s">
        <v>1051</v>
      </c>
      <c r="C173" s="19" t="s">
        <v>834</v>
      </c>
      <c r="D173" s="19"/>
      <c r="E173" s="14"/>
      <c r="F173">
        <v>-76.28013</v>
      </c>
      <c r="G173">
        <v>42.779243000000001</v>
      </c>
      <c r="H173">
        <v>14</v>
      </c>
      <c r="I173" t="s">
        <v>372</v>
      </c>
      <c r="J173" t="s">
        <v>359</v>
      </c>
      <c r="K173">
        <v>304</v>
      </c>
      <c r="L173" s="16">
        <v>322</v>
      </c>
      <c r="M173">
        <v>2</v>
      </c>
      <c r="N173" t="s">
        <v>352</v>
      </c>
      <c r="O173" t="s">
        <v>355</v>
      </c>
      <c r="P173">
        <v>54</v>
      </c>
    </row>
    <row r="174" spans="1:16" hidden="1" x14ac:dyDescent="0.25">
      <c r="A174" t="s">
        <v>206</v>
      </c>
      <c r="B174" s="14" t="s">
        <v>1052</v>
      </c>
      <c r="C174" s="19" t="s">
        <v>834</v>
      </c>
      <c r="D174" s="19"/>
      <c r="E174" s="14"/>
      <c r="F174">
        <v>-76.269773999999998</v>
      </c>
      <c r="G174">
        <v>42.779553999999997</v>
      </c>
      <c r="H174">
        <v>17</v>
      </c>
      <c r="I174" t="s">
        <v>372</v>
      </c>
      <c r="J174" t="s">
        <v>359</v>
      </c>
      <c r="K174">
        <v>560</v>
      </c>
      <c r="L174" s="16">
        <v>528</v>
      </c>
      <c r="M174">
        <v>0</v>
      </c>
      <c r="N174" t="s">
        <v>352</v>
      </c>
      <c r="O174" t="s">
        <v>355</v>
      </c>
      <c r="P174">
        <v>50</v>
      </c>
    </row>
    <row r="175" spans="1:16" hidden="1" x14ac:dyDescent="0.25">
      <c r="A175" t="s">
        <v>207</v>
      </c>
      <c r="B175" s="14" t="s">
        <v>1053</v>
      </c>
      <c r="C175" s="19" t="s">
        <v>834</v>
      </c>
      <c r="D175" s="19"/>
      <c r="E175" s="14"/>
      <c r="F175">
        <v>-76.28004</v>
      </c>
      <c r="G175">
        <v>42.779176999999997</v>
      </c>
      <c r="H175">
        <v>17</v>
      </c>
      <c r="I175" t="s">
        <v>372</v>
      </c>
      <c r="J175" t="s">
        <v>359</v>
      </c>
      <c r="K175">
        <v>85</v>
      </c>
      <c r="L175" s="16">
        <v>87</v>
      </c>
      <c r="M175">
        <v>1</v>
      </c>
      <c r="N175" t="s">
        <v>352</v>
      </c>
      <c r="O175" t="s">
        <v>355</v>
      </c>
      <c r="P175">
        <v>211</v>
      </c>
    </row>
    <row r="176" spans="1:16" x14ac:dyDescent="0.25">
      <c r="A176" t="s">
        <v>208</v>
      </c>
      <c r="B176" s="14" t="s">
        <v>1054</v>
      </c>
      <c r="C176" s="19">
        <v>0</v>
      </c>
      <c r="D176" s="19"/>
      <c r="E176" s="14"/>
      <c r="F176">
        <v>-76.269953999999998</v>
      </c>
      <c r="G176">
        <v>42.779494999999997</v>
      </c>
      <c r="H176">
        <v>24</v>
      </c>
      <c r="I176" t="s">
        <v>372</v>
      </c>
      <c r="J176" t="s">
        <v>359</v>
      </c>
      <c r="K176">
        <v>373</v>
      </c>
      <c r="L176" s="16">
        <v>405</v>
      </c>
      <c r="M176">
        <v>2</v>
      </c>
      <c r="N176" t="s">
        <v>352</v>
      </c>
      <c r="O176" t="s">
        <v>355</v>
      </c>
      <c r="P176">
        <v>251</v>
      </c>
    </row>
    <row r="177" spans="1:16" x14ac:dyDescent="0.25">
      <c r="A177" t="s">
        <v>301</v>
      </c>
      <c r="B177" s="14" t="s">
        <v>1055</v>
      </c>
      <c r="C177" s="19">
        <v>0</v>
      </c>
      <c r="D177" s="19"/>
      <c r="E177" s="19"/>
      <c r="F177">
        <v>-76.269953999999998</v>
      </c>
      <c r="G177">
        <v>42.779494999999997</v>
      </c>
      <c r="H177">
        <v>24</v>
      </c>
      <c r="I177" t="s">
        <v>372</v>
      </c>
      <c r="J177" t="s">
        <v>360</v>
      </c>
      <c r="K177">
        <v>258</v>
      </c>
      <c r="L177" s="16">
        <v>269</v>
      </c>
      <c r="M177">
        <v>2</v>
      </c>
      <c r="N177" t="s">
        <v>352</v>
      </c>
      <c r="O177" t="s">
        <v>355</v>
      </c>
    </row>
    <row r="178" spans="1:16" x14ac:dyDescent="0.25">
      <c r="A178" t="s">
        <v>209</v>
      </c>
      <c r="B178" s="14" t="s">
        <v>1056</v>
      </c>
      <c r="C178" s="19">
        <v>0</v>
      </c>
      <c r="D178" s="19"/>
      <c r="E178" s="19"/>
      <c r="F178">
        <v>-76.279824000000005</v>
      </c>
      <c r="G178">
        <v>42.779263</v>
      </c>
      <c r="H178">
        <v>24</v>
      </c>
      <c r="I178" t="s">
        <v>372</v>
      </c>
      <c r="J178" t="s">
        <v>359</v>
      </c>
      <c r="K178">
        <v>379</v>
      </c>
      <c r="L178" s="16">
        <v>411</v>
      </c>
      <c r="M178">
        <v>2</v>
      </c>
      <c r="N178" t="s">
        <v>352</v>
      </c>
      <c r="O178" t="s">
        <v>355</v>
      </c>
      <c r="P178">
        <v>54</v>
      </c>
    </row>
    <row r="179" spans="1:16" x14ac:dyDescent="0.25">
      <c r="A179" t="s">
        <v>210</v>
      </c>
      <c r="B179" s="14" t="s">
        <v>1057</v>
      </c>
      <c r="C179" s="19">
        <v>0</v>
      </c>
      <c r="D179" s="19"/>
      <c r="E179" s="19"/>
      <c r="F179">
        <v>-76.270467999999994</v>
      </c>
      <c r="G179">
        <v>42.779434999999999</v>
      </c>
      <c r="H179">
        <v>31</v>
      </c>
      <c r="I179" t="s">
        <v>372</v>
      </c>
      <c r="J179" t="s">
        <v>359</v>
      </c>
      <c r="K179">
        <v>208</v>
      </c>
      <c r="L179" s="16">
        <v>214</v>
      </c>
      <c r="M179">
        <v>2</v>
      </c>
      <c r="N179" t="s">
        <v>352</v>
      </c>
      <c r="O179" t="s">
        <v>355</v>
      </c>
      <c r="P179">
        <v>81</v>
      </c>
    </row>
    <row r="180" spans="1:16" x14ac:dyDescent="0.25">
      <c r="A180" t="s">
        <v>211</v>
      </c>
      <c r="B180" s="14" t="s">
        <v>1058</v>
      </c>
      <c r="C180" s="19">
        <v>0</v>
      </c>
      <c r="D180" s="19"/>
      <c r="E180" s="19"/>
      <c r="F180">
        <v>-76.279634999999999</v>
      </c>
      <c r="G180">
        <v>42.779223999999999</v>
      </c>
      <c r="H180">
        <v>31</v>
      </c>
      <c r="I180" t="s">
        <v>372</v>
      </c>
      <c r="J180" t="s">
        <v>359</v>
      </c>
      <c r="K180">
        <v>337</v>
      </c>
      <c r="L180" s="16">
        <v>316</v>
      </c>
      <c r="M180">
        <v>2</v>
      </c>
      <c r="N180" t="s">
        <v>352</v>
      </c>
      <c r="O180" t="s">
        <v>355</v>
      </c>
      <c r="P180">
        <v>304</v>
      </c>
    </row>
    <row r="181" spans="1:16" x14ac:dyDescent="0.25">
      <c r="A181" t="s">
        <v>212</v>
      </c>
      <c r="B181" s="14" t="s">
        <v>1059</v>
      </c>
      <c r="C181" s="19">
        <v>0</v>
      </c>
      <c r="D181" s="19"/>
      <c r="E181" s="19"/>
      <c r="F181">
        <v>-76.271783999999997</v>
      </c>
      <c r="G181">
        <v>42.779494999999997</v>
      </c>
      <c r="H181">
        <v>38</v>
      </c>
      <c r="I181" t="s">
        <v>372</v>
      </c>
      <c r="J181" t="s">
        <v>359</v>
      </c>
      <c r="K181">
        <v>162</v>
      </c>
      <c r="L181" s="16">
        <v>158</v>
      </c>
      <c r="M181">
        <v>2</v>
      </c>
      <c r="N181" t="s">
        <v>352</v>
      </c>
      <c r="O181" t="s">
        <v>355</v>
      </c>
      <c r="P181">
        <v>79</v>
      </c>
    </row>
    <row r="182" spans="1:16" x14ac:dyDescent="0.25">
      <c r="A182" t="s">
        <v>213</v>
      </c>
      <c r="B182" s="14" t="s">
        <v>1060</v>
      </c>
      <c r="C182" s="19">
        <v>0</v>
      </c>
      <c r="D182" s="19"/>
      <c r="E182" s="19"/>
      <c r="F182" s="16">
        <v>-76.279364000000001</v>
      </c>
      <c r="G182">
        <v>42.779197000000003</v>
      </c>
      <c r="H182">
        <v>38</v>
      </c>
      <c r="I182" t="s">
        <v>372</v>
      </c>
      <c r="J182" t="s">
        <v>359</v>
      </c>
      <c r="K182">
        <v>218</v>
      </c>
      <c r="L182" s="16">
        <v>233</v>
      </c>
      <c r="M182">
        <v>2</v>
      </c>
      <c r="N182" t="s">
        <v>352</v>
      </c>
      <c r="O182" t="s">
        <v>355</v>
      </c>
      <c r="P182">
        <v>82</v>
      </c>
    </row>
    <row r="183" spans="1:16" x14ac:dyDescent="0.25">
      <c r="A183" t="s">
        <v>214</v>
      </c>
      <c r="B183" s="14" t="s">
        <v>1061</v>
      </c>
      <c r="C183" s="19">
        <v>0</v>
      </c>
      <c r="D183" s="19"/>
      <c r="E183" s="19"/>
      <c r="F183" s="16">
        <v>-76.273523999999995</v>
      </c>
      <c r="G183">
        <v>42.779429</v>
      </c>
      <c r="H183">
        <v>45</v>
      </c>
      <c r="I183" t="s">
        <v>372</v>
      </c>
      <c r="J183" t="s">
        <v>359</v>
      </c>
      <c r="K183">
        <v>146</v>
      </c>
      <c r="L183" s="16">
        <v>151</v>
      </c>
      <c r="M183">
        <v>1</v>
      </c>
      <c r="N183" t="s">
        <v>352</v>
      </c>
      <c r="O183" t="s">
        <v>355</v>
      </c>
      <c r="P183">
        <v>48</v>
      </c>
    </row>
    <row r="184" spans="1:16" x14ac:dyDescent="0.25">
      <c r="A184" t="s">
        <v>215</v>
      </c>
      <c r="B184" s="14" t="s">
        <v>1062</v>
      </c>
      <c r="C184" s="19">
        <v>0</v>
      </c>
      <c r="D184" s="19"/>
      <c r="E184" s="19"/>
      <c r="F184" s="16">
        <v>-76.278535000000005</v>
      </c>
      <c r="G184">
        <v>42.779237000000002</v>
      </c>
      <c r="H184">
        <v>45</v>
      </c>
      <c r="I184" t="s">
        <v>372</v>
      </c>
      <c r="J184" t="s">
        <v>359</v>
      </c>
      <c r="K184">
        <v>40</v>
      </c>
      <c r="L184" s="16">
        <v>40</v>
      </c>
      <c r="M184">
        <v>2</v>
      </c>
      <c r="N184" t="s">
        <v>352</v>
      </c>
      <c r="O184" t="s">
        <v>355</v>
      </c>
      <c r="P184">
        <v>19</v>
      </c>
    </row>
    <row r="185" spans="1:16" x14ac:dyDescent="0.25">
      <c r="A185" t="s">
        <v>216</v>
      </c>
      <c r="B185" s="14" t="s">
        <v>1063</v>
      </c>
      <c r="C185" s="19">
        <v>0</v>
      </c>
      <c r="D185" s="19"/>
      <c r="E185" s="19"/>
      <c r="F185" s="16">
        <v>-76.275875999999997</v>
      </c>
      <c r="G185">
        <v>42.779462000000002</v>
      </c>
      <c r="H185">
        <v>52</v>
      </c>
      <c r="I185" t="s">
        <v>372</v>
      </c>
      <c r="J185" t="s">
        <v>359</v>
      </c>
      <c r="K185">
        <v>27</v>
      </c>
      <c r="L185" s="16">
        <v>27</v>
      </c>
      <c r="M185">
        <v>1</v>
      </c>
      <c r="N185" t="s">
        <v>352</v>
      </c>
      <c r="O185" t="s">
        <v>355</v>
      </c>
      <c r="P185">
        <v>20</v>
      </c>
    </row>
    <row r="186" spans="1:16" x14ac:dyDescent="0.25">
      <c r="A186" t="s">
        <v>302</v>
      </c>
      <c r="B186" s="14" t="s">
        <v>1064</v>
      </c>
      <c r="C186" s="19">
        <v>0</v>
      </c>
      <c r="D186" s="19"/>
      <c r="E186" s="19"/>
      <c r="F186" s="16">
        <v>-76.275875999999997</v>
      </c>
      <c r="G186">
        <v>42.779462000000002</v>
      </c>
      <c r="H186">
        <v>52</v>
      </c>
      <c r="I186" t="s">
        <v>372</v>
      </c>
      <c r="J186" t="s">
        <v>360</v>
      </c>
      <c r="K186">
        <v>64</v>
      </c>
      <c r="L186" s="16">
        <v>62</v>
      </c>
      <c r="M186">
        <v>2</v>
      </c>
      <c r="N186" t="s">
        <v>352</v>
      </c>
      <c r="O186" t="s">
        <v>355</v>
      </c>
    </row>
    <row r="187" spans="1:16" hidden="1" x14ac:dyDescent="0.25">
      <c r="A187" t="s">
        <v>217</v>
      </c>
      <c r="B187" s="14" t="s">
        <v>1065</v>
      </c>
      <c r="C187" s="19"/>
      <c r="D187" s="19"/>
      <c r="E187" s="19"/>
      <c r="F187" s="16">
        <v>-76.414203999999998</v>
      </c>
      <c r="G187">
        <v>42.902982999999999</v>
      </c>
      <c r="H187">
        <v>21</v>
      </c>
      <c r="I187" t="s">
        <v>373</v>
      </c>
      <c r="J187" t="s">
        <v>359</v>
      </c>
      <c r="K187">
        <v>144</v>
      </c>
      <c r="L187" s="16">
        <v>153</v>
      </c>
      <c r="M187">
        <v>2</v>
      </c>
      <c r="N187" t="s">
        <v>352</v>
      </c>
      <c r="O187" t="s">
        <v>355</v>
      </c>
      <c r="P187">
        <v>85</v>
      </c>
    </row>
    <row r="188" spans="1:16" hidden="1" x14ac:dyDescent="0.25">
      <c r="A188" t="s">
        <v>303</v>
      </c>
      <c r="B188" s="14" t="s">
        <v>1066</v>
      </c>
      <c r="C188" s="19"/>
      <c r="D188" s="19"/>
      <c r="E188" s="19"/>
      <c r="F188" s="16">
        <v>-76.414203999999998</v>
      </c>
      <c r="G188">
        <v>42.902982999999999</v>
      </c>
      <c r="H188">
        <v>21</v>
      </c>
      <c r="I188" t="s">
        <v>373</v>
      </c>
      <c r="J188" t="s">
        <v>360</v>
      </c>
      <c r="K188">
        <v>313</v>
      </c>
      <c r="L188" s="16">
        <v>297</v>
      </c>
      <c r="M188">
        <v>1</v>
      </c>
      <c r="N188" t="s">
        <v>352</v>
      </c>
      <c r="O188" t="s">
        <v>355</v>
      </c>
    </row>
    <row r="189" spans="1:16" hidden="1" x14ac:dyDescent="0.25">
      <c r="A189" t="s">
        <v>218</v>
      </c>
      <c r="B189" s="14" t="s">
        <v>1067</v>
      </c>
      <c r="C189" s="19"/>
      <c r="D189" s="19"/>
      <c r="E189" s="19"/>
      <c r="F189" s="16">
        <v>-76.413736</v>
      </c>
      <c r="G189">
        <v>42.901980000000002</v>
      </c>
      <c r="H189">
        <v>24</v>
      </c>
      <c r="I189" t="s">
        <v>373</v>
      </c>
      <c r="J189" t="s">
        <v>359</v>
      </c>
      <c r="K189">
        <v>177</v>
      </c>
      <c r="L189" s="16">
        <v>149</v>
      </c>
      <c r="M189">
        <v>2</v>
      </c>
      <c r="N189" t="s">
        <v>352</v>
      </c>
      <c r="O189" t="s">
        <v>355</v>
      </c>
      <c r="P189">
        <v>78</v>
      </c>
    </row>
    <row r="190" spans="1:16" hidden="1" x14ac:dyDescent="0.25">
      <c r="A190" t="s">
        <v>304</v>
      </c>
      <c r="B190" s="14" t="s">
        <v>1068</v>
      </c>
      <c r="C190" s="19"/>
      <c r="D190" s="19"/>
      <c r="E190" s="19"/>
      <c r="F190" s="16">
        <v>-76.413736</v>
      </c>
      <c r="G190">
        <v>42.901980000000002</v>
      </c>
      <c r="H190">
        <v>24</v>
      </c>
      <c r="I190" t="s">
        <v>373</v>
      </c>
      <c r="J190" t="s">
        <v>360</v>
      </c>
      <c r="K190">
        <v>225</v>
      </c>
      <c r="L190" s="16">
        <v>188</v>
      </c>
      <c r="M190">
        <v>2</v>
      </c>
      <c r="N190" t="s">
        <v>352</v>
      </c>
      <c r="O190" t="s">
        <v>355</v>
      </c>
    </row>
    <row r="191" spans="1:16" x14ac:dyDescent="0.25">
      <c r="A191" t="s">
        <v>219</v>
      </c>
      <c r="B191" s="14" t="s">
        <v>1069</v>
      </c>
      <c r="C191" s="19">
        <v>0</v>
      </c>
      <c r="D191" s="19"/>
      <c r="E191" s="19"/>
      <c r="F191" s="16">
        <v>-76.413383999999994</v>
      </c>
      <c r="G191">
        <v>42.901868</v>
      </c>
      <c r="H191">
        <v>28</v>
      </c>
      <c r="I191" t="s">
        <v>373</v>
      </c>
      <c r="J191" t="s">
        <v>359</v>
      </c>
      <c r="K191">
        <v>154</v>
      </c>
      <c r="L191" s="16">
        <v>151</v>
      </c>
      <c r="M191">
        <v>2</v>
      </c>
      <c r="N191" t="s">
        <v>352</v>
      </c>
      <c r="O191" t="s">
        <v>355</v>
      </c>
      <c r="P191">
        <v>55</v>
      </c>
    </row>
    <row r="192" spans="1:16" hidden="1" x14ac:dyDescent="0.25">
      <c r="A192" t="s">
        <v>305</v>
      </c>
      <c r="B192" s="14" t="s">
        <v>1097</v>
      </c>
      <c r="C192" s="19"/>
      <c r="D192" s="19"/>
      <c r="E192" s="19" t="s">
        <v>1105</v>
      </c>
      <c r="F192" s="16">
        <v>-76.413383999999994</v>
      </c>
      <c r="G192">
        <v>42.901868</v>
      </c>
      <c r="H192">
        <v>28</v>
      </c>
      <c r="I192" t="s">
        <v>373</v>
      </c>
      <c r="J192" t="s">
        <v>360</v>
      </c>
      <c r="K192">
        <v>144</v>
      </c>
      <c r="L192" s="16"/>
      <c r="M192">
        <v>1</v>
      </c>
      <c r="N192" t="s">
        <v>352</v>
      </c>
      <c r="O192" t="s">
        <v>355</v>
      </c>
    </row>
    <row r="193" spans="1:16" x14ac:dyDescent="0.25">
      <c r="A193" t="s">
        <v>220</v>
      </c>
      <c r="B193" s="14" t="s">
        <v>1070</v>
      </c>
      <c r="C193" s="19">
        <v>0</v>
      </c>
      <c r="D193" s="19"/>
      <c r="E193" s="19"/>
      <c r="F193" s="16">
        <v>-76.413177000000005</v>
      </c>
      <c r="G193">
        <v>42.902554000000002</v>
      </c>
      <c r="H193">
        <v>29</v>
      </c>
      <c r="I193" t="s">
        <v>373</v>
      </c>
      <c r="J193" t="s">
        <v>359</v>
      </c>
      <c r="K193">
        <v>311</v>
      </c>
      <c r="L193" s="16">
        <v>273</v>
      </c>
      <c r="M193">
        <v>2</v>
      </c>
      <c r="N193" t="s">
        <v>352</v>
      </c>
      <c r="O193" t="s">
        <v>355</v>
      </c>
      <c r="P193">
        <v>140</v>
      </c>
    </row>
    <row r="194" spans="1:16" hidden="1" x14ac:dyDescent="0.25">
      <c r="A194" t="s">
        <v>221</v>
      </c>
      <c r="B194" s="14" t="s">
        <v>1071</v>
      </c>
      <c r="C194" s="19"/>
      <c r="D194" s="19"/>
      <c r="E194" s="19"/>
      <c r="F194" s="16">
        <v>-76.412924000000004</v>
      </c>
      <c r="G194">
        <v>42.902171000000003</v>
      </c>
      <c r="H194">
        <v>32</v>
      </c>
      <c r="I194" t="s">
        <v>373</v>
      </c>
      <c r="J194" t="s">
        <v>359</v>
      </c>
      <c r="K194">
        <v>139</v>
      </c>
      <c r="L194" s="16">
        <v>145</v>
      </c>
      <c r="M194">
        <v>2</v>
      </c>
      <c r="N194" t="s">
        <v>352</v>
      </c>
      <c r="O194" t="s">
        <v>355</v>
      </c>
      <c r="P194">
        <v>56</v>
      </c>
    </row>
    <row r="195" spans="1:16" hidden="1" x14ac:dyDescent="0.25">
      <c r="A195" t="s">
        <v>222</v>
      </c>
      <c r="B195" s="14" t="s">
        <v>1072</v>
      </c>
      <c r="C195" s="19"/>
      <c r="D195" s="19"/>
      <c r="E195" s="19"/>
      <c r="F195" s="16">
        <v>-76.412482999999995</v>
      </c>
      <c r="G195">
        <v>42.90025</v>
      </c>
      <c r="H195">
        <v>35</v>
      </c>
      <c r="I195" t="s">
        <v>373</v>
      </c>
      <c r="J195" t="s">
        <v>359</v>
      </c>
      <c r="K195">
        <v>149</v>
      </c>
      <c r="L195" s="16">
        <v>153</v>
      </c>
      <c r="M195">
        <v>2</v>
      </c>
      <c r="N195" t="s">
        <v>352</v>
      </c>
      <c r="O195" t="s">
        <v>355</v>
      </c>
      <c r="P195">
        <v>61</v>
      </c>
    </row>
    <row r="196" spans="1:16" hidden="1" x14ac:dyDescent="0.25">
      <c r="A196" t="s">
        <v>306</v>
      </c>
      <c r="B196" s="14" t="s">
        <v>1073</v>
      </c>
      <c r="C196" s="19"/>
      <c r="D196" s="19"/>
      <c r="E196" s="19"/>
      <c r="F196" s="16">
        <v>-76.401287999999994</v>
      </c>
      <c r="G196">
        <v>42.867610999999997</v>
      </c>
      <c r="H196">
        <v>3</v>
      </c>
      <c r="I196" t="s">
        <v>374</v>
      </c>
      <c r="J196" t="s">
        <v>359</v>
      </c>
      <c r="K196">
        <v>398</v>
      </c>
      <c r="L196" s="16">
        <v>414</v>
      </c>
      <c r="M196">
        <v>2</v>
      </c>
      <c r="N196" t="s">
        <v>357</v>
      </c>
      <c r="O196" t="s">
        <v>355</v>
      </c>
    </row>
    <row r="197" spans="1:16" hidden="1" x14ac:dyDescent="0.25">
      <c r="A197" t="s">
        <v>307</v>
      </c>
      <c r="B197" s="14" t="s">
        <v>1074</v>
      </c>
      <c r="C197" s="19"/>
      <c r="D197" s="19"/>
      <c r="E197" s="19"/>
      <c r="F197" s="16">
        <v>-76.401324000000002</v>
      </c>
      <c r="G197">
        <v>42.867069000000001</v>
      </c>
      <c r="H197">
        <v>3</v>
      </c>
      <c r="I197" t="s">
        <v>374</v>
      </c>
      <c r="J197" t="s">
        <v>360</v>
      </c>
      <c r="K197">
        <v>133</v>
      </c>
      <c r="L197" s="16">
        <v>119</v>
      </c>
      <c r="M197">
        <v>1</v>
      </c>
      <c r="N197" t="s">
        <v>357</v>
      </c>
      <c r="O197" t="s">
        <v>381</v>
      </c>
    </row>
    <row r="198" spans="1:16" x14ac:dyDescent="0.25">
      <c r="A198" t="s">
        <v>308</v>
      </c>
      <c r="B198" s="14" t="s">
        <v>1075</v>
      </c>
      <c r="C198" s="19">
        <v>0</v>
      </c>
      <c r="D198" s="19"/>
      <c r="E198" s="19"/>
      <c r="F198" s="16">
        <v>-76.400630000000007</v>
      </c>
      <c r="G198">
        <v>42.867089</v>
      </c>
      <c r="H198">
        <v>5</v>
      </c>
      <c r="I198" t="s">
        <v>374</v>
      </c>
      <c r="J198" t="s">
        <v>359</v>
      </c>
      <c r="K198">
        <v>251</v>
      </c>
      <c r="L198" s="16">
        <v>264</v>
      </c>
      <c r="M198">
        <v>2</v>
      </c>
      <c r="N198" t="s">
        <v>357</v>
      </c>
      <c r="O198" t="s">
        <v>355</v>
      </c>
    </row>
    <row r="199" spans="1:16" hidden="1" x14ac:dyDescent="0.25">
      <c r="A199" t="s">
        <v>309</v>
      </c>
      <c r="B199" s="14" t="s">
        <v>1076</v>
      </c>
      <c r="C199" s="19"/>
      <c r="D199" s="19"/>
      <c r="E199" s="19"/>
      <c r="F199" s="16">
        <v>-76.400972999999993</v>
      </c>
      <c r="G199">
        <v>42.867657000000001</v>
      </c>
      <c r="H199">
        <v>5</v>
      </c>
      <c r="I199" t="s">
        <v>374</v>
      </c>
      <c r="J199" t="s">
        <v>360</v>
      </c>
      <c r="K199">
        <v>126</v>
      </c>
      <c r="L199" s="16">
        <v>130</v>
      </c>
      <c r="M199">
        <v>2</v>
      </c>
      <c r="N199" t="s">
        <v>357</v>
      </c>
      <c r="O199" t="s">
        <v>355</v>
      </c>
    </row>
    <row r="200" spans="1:16" hidden="1" x14ac:dyDescent="0.25">
      <c r="A200" t="s">
        <v>310</v>
      </c>
      <c r="B200" s="14" t="s">
        <v>1077</v>
      </c>
      <c r="C200" s="19"/>
      <c r="D200" s="19"/>
      <c r="E200" s="19"/>
      <c r="F200" s="16">
        <v>-76.399404000000004</v>
      </c>
      <c r="G200">
        <v>42.865985999999999</v>
      </c>
      <c r="H200">
        <v>8</v>
      </c>
      <c r="I200" t="s">
        <v>374</v>
      </c>
      <c r="J200" t="s">
        <v>359</v>
      </c>
      <c r="K200">
        <v>344</v>
      </c>
      <c r="L200" s="16">
        <v>356</v>
      </c>
      <c r="M200">
        <v>2</v>
      </c>
      <c r="N200" t="s">
        <v>352</v>
      </c>
      <c r="O200" t="s">
        <v>355</v>
      </c>
    </row>
    <row r="201" spans="1:16" hidden="1" x14ac:dyDescent="0.25">
      <c r="A201" t="s">
        <v>337</v>
      </c>
      <c r="B201" s="14"/>
      <c r="C201" s="19"/>
      <c r="D201" s="19"/>
      <c r="E201" s="19" t="s">
        <v>1102</v>
      </c>
      <c r="F201" s="16">
        <v>-76.398954000000003</v>
      </c>
      <c r="G201">
        <v>42.86551</v>
      </c>
      <c r="H201">
        <v>8</v>
      </c>
      <c r="I201" t="s">
        <v>374</v>
      </c>
      <c r="J201" t="s">
        <v>360</v>
      </c>
      <c r="K201">
        <v>0</v>
      </c>
      <c r="L201" s="16"/>
      <c r="M201">
        <v>0</v>
      </c>
      <c r="N201" t="s">
        <v>352</v>
      </c>
      <c r="O201" t="s">
        <v>353</v>
      </c>
    </row>
    <row r="202" spans="1:16" hidden="1" x14ac:dyDescent="0.25">
      <c r="A202" t="s">
        <v>223</v>
      </c>
      <c r="B202" s="14" t="s">
        <v>1078</v>
      </c>
      <c r="C202" s="19"/>
      <c r="D202" s="19"/>
      <c r="E202" s="19"/>
      <c r="F202" s="16">
        <v>-76.358096539069706</v>
      </c>
      <c r="G202">
        <v>42.861042438565697</v>
      </c>
      <c r="H202">
        <v>1</v>
      </c>
      <c r="I202" t="s">
        <v>375</v>
      </c>
      <c r="J202" t="s">
        <v>359</v>
      </c>
      <c r="K202">
        <v>21</v>
      </c>
      <c r="L202" s="16">
        <v>32</v>
      </c>
      <c r="M202">
        <v>1</v>
      </c>
      <c r="N202" t="s">
        <v>352</v>
      </c>
      <c r="O202" t="s">
        <v>354</v>
      </c>
      <c r="P202">
        <v>1</v>
      </c>
    </row>
    <row r="203" spans="1:16" hidden="1" x14ac:dyDescent="0.25">
      <c r="A203" t="s">
        <v>339</v>
      </c>
      <c r="B203" s="14" t="s">
        <v>1079</v>
      </c>
      <c r="C203" s="19"/>
      <c r="D203" s="19"/>
      <c r="E203" s="19"/>
      <c r="F203" s="16">
        <v>-76.358096539069706</v>
      </c>
      <c r="G203">
        <v>42.861042438565697</v>
      </c>
      <c r="H203">
        <v>1</v>
      </c>
      <c r="I203" t="s">
        <v>375</v>
      </c>
      <c r="J203" t="s">
        <v>360</v>
      </c>
      <c r="K203">
        <v>24</v>
      </c>
      <c r="L203" s="16">
        <v>19</v>
      </c>
      <c r="M203">
        <v>0</v>
      </c>
      <c r="N203" t="s">
        <v>352</v>
      </c>
      <c r="O203" t="s">
        <v>355</v>
      </c>
    </row>
    <row r="204" spans="1:16" hidden="1" x14ac:dyDescent="0.25">
      <c r="A204" t="s">
        <v>311</v>
      </c>
      <c r="B204" s="14" t="s">
        <v>1080</v>
      </c>
      <c r="C204" s="19"/>
      <c r="D204" s="19"/>
      <c r="E204" s="19"/>
      <c r="F204" s="16">
        <v>-76.358186000000003</v>
      </c>
      <c r="G204">
        <v>42.860899000000003</v>
      </c>
      <c r="H204">
        <v>2</v>
      </c>
      <c r="I204" t="s">
        <v>375</v>
      </c>
      <c r="J204" t="s">
        <v>359</v>
      </c>
      <c r="K204">
        <v>87</v>
      </c>
      <c r="L204" s="16">
        <v>83</v>
      </c>
      <c r="M204">
        <v>0</v>
      </c>
      <c r="N204" t="s">
        <v>357</v>
      </c>
      <c r="O204" t="s">
        <v>355</v>
      </c>
    </row>
    <row r="205" spans="1:16" hidden="1" x14ac:dyDescent="0.25">
      <c r="A205" t="s">
        <v>338</v>
      </c>
      <c r="B205" s="14" t="s">
        <v>1081</v>
      </c>
      <c r="C205" s="19"/>
      <c r="D205" s="19"/>
      <c r="E205" s="19"/>
      <c r="F205" s="16">
        <v>-76.358186000000003</v>
      </c>
      <c r="G205">
        <v>42.860899000000003</v>
      </c>
      <c r="H205">
        <v>2</v>
      </c>
      <c r="I205" t="s">
        <v>375</v>
      </c>
      <c r="J205" t="s">
        <v>360</v>
      </c>
      <c r="K205">
        <v>36</v>
      </c>
      <c r="L205" s="16">
        <v>31</v>
      </c>
      <c r="M205">
        <v>0</v>
      </c>
      <c r="N205" t="s">
        <v>357</v>
      </c>
      <c r="O205" t="s">
        <v>355</v>
      </c>
    </row>
    <row r="206" spans="1:16" x14ac:dyDescent="0.25">
      <c r="A206" t="s">
        <v>228</v>
      </c>
      <c r="B206" s="14" t="s">
        <v>1082</v>
      </c>
      <c r="C206" s="19">
        <v>0</v>
      </c>
      <c r="D206" s="19"/>
      <c r="E206" s="19"/>
      <c r="F206" s="16">
        <v>-76.300274999999999</v>
      </c>
      <c r="G206">
        <v>42.816490999999999</v>
      </c>
      <c r="H206">
        <v>1</v>
      </c>
      <c r="I206" t="s">
        <v>376</v>
      </c>
      <c r="J206" t="s">
        <v>359</v>
      </c>
      <c r="K206">
        <v>86</v>
      </c>
      <c r="L206" s="16">
        <v>62</v>
      </c>
      <c r="M206">
        <v>1</v>
      </c>
      <c r="N206" t="s">
        <v>357</v>
      </c>
      <c r="O206" t="s">
        <v>355</v>
      </c>
      <c r="P206">
        <v>39</v>
      </c>
    </row>
    <row r="207" spans="1:16" x14ac:dyDescent="0.25">
      <c r="A207" t="s">
        <v>312</v>
      </c>
      <c r="B207" s="14" t="s">
        <v>1083</v>
      </c>
      <c r="C207" s="19">
        <v>0</v>
      </c>
      <c r="D207" s="19"/>
      <c r="E207" s="19"/>
      <c r="F207" s="16">
        <v>-76.300274999999999</v>
      </c>
      <c r="G207">
        <v>42.816490999999999</v>
      </c>
      <c r="H207">
        <v>1</v>
      </c>
      <c r="I207" t="s">
        <v>376</v>
      </c>
      <c r="J207" t="s">
        <v>360</v>
      </c>
      <c r="K207">
        <v>216</v>
      </c>
      <c r="L207" s="16">
        <v>220</v>
      </c>
      <c r="M207">
        <v>1</v>
      </c>
      <c r="N207" t="s">
        <v>357</v>
      </c>
      <c r="O207" t="s">
        <v>355</v>
      </c>
    </row>
    <row r="208" spans="1:16" x14ac:dyDescent="0.25">
      <c r="A208" t="s">
        <v>313</v>
      </c>
      <c r="B208" s="14" t="s">
        <v>1084</v>
      </c>
      <c r="C208" s="19">
        <v>0</v>
      </c>
      <c r="D208" s="19"/>
      <c r="E208" s="19"/>
      <c r="F208" s="16">
        <v>-76.300274999999999</v>
      </c>
      <c r="G208">
        <v>42.816490999999999</v>
      </c>
      <c r="H208">
        <v>1</v>
      </c>
      <c r="I208" t="s">
        <v>376</v>
      </c>
      <c r="J208" t="s">
        <v>366</v>
      </c>
      <c r="K208">
        <v>111</v>
      </c>
      <c r="L208" s="16">
        <v>119</v>
      </c>
      <c r="M208">
        <v>1</v>
      </c>
      <c r="N208" t="s">
        <v>357</v>
      </c>
      <c r="O208" t="s">
        <v>355</v>
      </c>
    </row>
    <row r="209" spans="1:16" x14ac:dyDescent="0.25">
      <c r="A209" t="s">
        <v>314</v>
      </c>
      <c r="B209" s="14" t="s">
        <v>1100</v>
      </c>
      <c r="C209" s="19">
        <v>0</v>
      </c>
      <c r="D209" s="19"/>
      <c r="E209" s="19"/>
      <c r="F209" s="16">
        <v>-76.300274999999999</v>
      </c>
      <c r="G209">
        <v>42.816490999999999</v>
      </c>
      <c r="H209">
        <v>1</v>
      </c>
      <c r="I209" t="s">
        <v>376</v>
      </c>
      <c r="J209" t="s">
        <v>370</v>
      </c>
      <c r="K209">
        <v>129</v>
      </c>
      <c r="L209" s="16"/>
      <c r="M209">
        <v>1</v>
      </c>
      <c r="N209" t="s">
        <v>357</v>
      </c>
      <c r="O209" t="s">
        <v>355</v>
      </c>
    </row>
    <row r="210" spans="1:16" x14ac:dyDescent="0.25">
      <c r="A210" t="s">
        <v>229</v>
      </c>
      <c r="B210" s="14" t="s">
        <v>1085</v>
      </c>
      <c r="C210" s="19">
        <v>0</v>
      </c>
      <c r="D210" s="19"/>
      <c r="E210" s="19"/>
      <c r="F210" s="16">
        <v>-76.300362471763805</v>
      </c>
      <c r="G210">
        <v>42.816422608888097</v>
      </c>
      <c r="H210">
        <v>4</v>
      </c>
      <c r="I210" t="s">
        <v>376</v>
      </c>
      <c r="J210" t="s">
        <v>359</v>
      </c>
      <c r="K210">
        <v>170</v>
      </c>
      <c r="L210" s="16">
        <v>188</v>
      </c>
      <c r="M210">
        <v>1</v>
      </c>
      <c r="N210" t="s">
        <v>357</v>
      </c>
      <c r="O210" t="s">
        <v>355</v>
      </c>
      <c r="P210">
        <v>78</v>
      </c>
    </row>
    <row r="211" spans="1:16" x14ac:dyDescent="0.25">
      <c r="A211" t="s">
        <v>315</v>
      </c>
      <c r="B211" s="14" t="s">
        <v>1086</v>
      </c>
      <c r="C211" s="19">
        <v>0</v>
      </c>
      <c r="D211" s="19"/>
      <c r="E211" s="19"/>
      <c r="F211" s="16">
        <v>-76.300362471763805</v>
      </c>
      <c r="G211">
        <v>42.816422608888097</v>
      </c>
      <c r="H211">
        <v>4</v>
      </c>
      <c r="I211" t="s">
        <v>376</v>
      </c>
      <c r="J211" t="s">
        <v>360</v>
      </c>
      <c r="K211">
        <v>198</v>
      </c>
      <c r="L211" s="16">
        <v>206</v>
      </c>
      <c r="M211">
        <v>1</v>
      </c>
      <c r="N211" t="s">
        <v>357</v>
      </c>
      <c r="O211" t="s">
        <v>355</v>
      </c>
    </row>
    <row r="212" spans="1:16" hidden="1" x14ac:dyDescent="0.25">
      <c r="A212" t="s">
        <v>230</v>
      </c>
      <c r="B212" s="14"/>
      <c r="C212" s="19"/>
      <c r="D212" s="19"/>
      <c r="E212" s="19" t="s">
        <v>1106</v>
      </c>
      <c r="F212" s="16">
        <v>-76.299689000000001</v>
      </c>
      <c r="G212">
        <v>42.815697999999998</v>
      </c>
      <c r="H212">
        <v>8</v>
      </c>
      <c r="I212" t="s">
        <v>376</v>
      </c>
      <c r="J212" t="s">
        <v>359</v>
      </c>
      <c r="K212">
        <v>0</v>
      </c>
      <c r="L212" s="16"/>
      <c r="M212">
        <v>0</v>
      </c>
      <c r="N212" t="s">
        <v>357</v>
      </c>
      <c r="O212" t="s">
        <v>355</v>
      </c>
      <c r="P212">
        <v>48</v>
      </c>
    </row>
    <row r="213" spans="1:16" hidden="1" x14ac:dyDescent="0.25">
      <c r="A213" t="s">
        <v>231</v>
      </c>
      <c r="B213" s="14" t="s">
        <v>1087</v>
      </c>
      <c r="C213" s="19"/>
      <c r="D213" s="19"/>
      <c r="E213" s="19"/>
      <c r="F213" s="16">
        <v>-76.300149000000005</v>
      </c>
      <c r="G213">
        <v>42.815572000000003</v>
      </c>
      <c r="H213">
        <v>21</v>
      </c>
      <c r="I213" t="s">
        <v>376</v>
      </c>
      <c r="J213" t="s">
        <v>359</v>
      </c>
      <c r="K213">
        <v>138</v>
      </c>
      <c r="L213" s="16">
        <v>114</v>
      </c>
      <c r="M213">
        <v>1</v>
      </c>
      <c r="N213" t="s">
        <v>352</v>
      </c>
      <c r="O213" t="s">
        <v>355</v>
      </c>
      <c r="P213">
        <v>289</v>
      </c>
    </row>
    <row r="214" spans="1:16" hidden="1" x14ac:dyDescent="0.25">
      <c r="A214" t="s">
        <v>232</v>
      </c>
      <c r="B214" s="14" t="s">
        <v>1088</v>
      </c>
      <c r="C214" s="19"/>
      <c r="D214" s="19"/>
      <c r="E214" s="19"/>
      <c r="F214" s="16">
        <v>-76.300284000000005</v>
      </c>
      <c r="G214">
        <v>42.815427</v>
      </c>
      <c r="H214">
        <v>27</v>
      </c>
      <c r="I214" t="s">
        <v>376</v>
      </c>
      <c r="J214" t="s">
        <v>359</v>
      </c>
      <c r="K214">
        <v>161</v>
      </c>
      <c r="L214" s="16">
        <v>137</v>
      </c>
      <c r="M214">
        <v>1</v>
      </c>
      <c r="N214" t="s">
        <v>352</v>
      </c>
      <c r="O214" t="s">
        <v>355</v>
      </c>
      <c r="P214">
        <v>217</v>
      </c>
    </row>
    <row r="215" spans="1:16" hidden="1" x14ac:dyDescent="0.25">
      <c r="A215" t="s">
        <v>316</v>
      </c>
      <c r="B215" s="14" t="s">
        <v>1098</v>
      </c>
      <c r="C215" s="19"/>
      <c r="D215" s="19"/>
      <c r="E215" s="19" t="s">
        <v>1107</v>
      </c>
      <c r="F215" s="16">
        <v>-76.300284000000005</v>
      </c>
      <c r="G215">
        <v>42.815427</v>
      </c>
      <c r="H215">
        <v>27</v>
      </c>
      <c r="I215" t="s">
        <v>376</v>
      </c>
      <c r="J215" t="s">
        <v>360</v>
      </c>
      <c r="K215">
        <v>59</v>
      </c>
      <c r="L215" s="16"/>
      <c r="M215">
        <v>1</v>
      </c>
      <c r="N215" t="s">
        <v>352</v>
      </c>
      <c r="O215" t="s">
        <v>355</v>
      </c>
    </row>
    <row r="216" spans="1:16" hidden="1" x14ac:dyDescent="0.25">
      <c r="A216" t="s">
        <v>247</v>
      </c>
      <c r="B216" s="14" t="s">
        <v>1099</v>
      </c>
      <c r="C216" s="19"/>
      <c r="D216" s="19"/>
      <c r="E216" s="19"/>
      <c r="F216" s="16">
        <v>-76.275154999999998</v>
      </c>
      <c r="G216">
        <v>42.789780999999998</v>
      </c>
      <c r="H216">
        <v>1</v>
      </c>
      <c r="I216" t="s">
        <v>377</v>
      </c>
      <c r="J216" t="s">
        <v>359</v>
      </c>
      <c r="K216">
        <v>75</v>
      </c>
      <c r="L216" s="16">
        <v>93</v>
      </c>
      <c r="M216">
        <v>0</v>
      </c>
      <c r="N216" t="s">
        <v>357</v>
      </c>
      <c r="O216" t="s">
        <v>355</v>
      </c>
      <c r="P216">
        <v>0</v>
      </c>
    </row>
    <row r="217" spans="1:16" hidden="1" x14ac:dyDescent="0.25">
      <c r="A217" t="s">
        <v>340</v>
      </c>
      <c r="B217" s="14" t="s">
        <v>1089</v>
      </c>
      <c r="C217" s="19"/>
      <c r="D217" s="19"/>
      <c r="E217" s="19"/>
      <c r="F217" s="16">
        <v>-76.275154999999998</v>
      </c>
      <c r="G217">
        <v>42.789780999999998</v>
      </c>
      <c r="H217">
        <v>1</v>
      </c>
      <c r="I217" t="s">
        <v>377</v>
      </c>
      <c r="J217" t="s">
        <v>360</v>
      </c>
      <c r="K217">
        <v>13</v>
      </c>
      <c r="L217" s="16">
        <v>7</v>
      </c>
      <c r="M217">
        <v>0</v>
      </c>
      <c r="N217" t="s">
        <v>357</v>
      </c>
      <c r="O217" t="s">
        <v>355</v>
      </c>
    </row>
    <row r="218" spans="1:16" hidden="1" x14ac:dyDescent="0.25">
      <c r="A218" t="s">
        <v>234</v>
      </c>
      <c r="B218" s="14"/>
      <c r="C218" s="19"/>
      <c r="D218" s="19"/>
      <c r="E218" s="19" t="s">
        <v>1108</v>
      </c>
      <c r="F218" s="16">
        <v>-76.275965999999997</v>
      </c>
      <c r="G218">
        <v>42.789648999999997</v>
      </c>
      <c r="H218">
        <v>21</v>
      </c>
      <c r="I218" t="s">
        <v>377</v>
      </c>
      <c r="J218" t="s">
        <v>359</v>
      </c>
      <c r="K218">
        <v>122</v>
      </c>
      <c r="L218" s="16"/>
      <c r="M218">
        <v>1</v>
      </c>
      <c r="N218" t="s">
        <v>352</v>
      </c>
      <c r="O218" t="s">
        <v>355</v>
      </c>
      <c r="P218">
        <v>183</v>
      </c>
    </row>
    <row r="219" spans="1:16" hidden="1" x14ac:dyDescent="0.25">
      <c r="A219" t="s">
        <v>235</v>
      </c>
      <c r="B219" s="14" t="s">
        <v>1090</v>
      </c>
      <c r="C219" s="19"/>
      <c r="D219" s="19"/>
      <c r="E219" s="19"/>
      <c r="F219" s="16">
        <v>-76.276047000000005</v>
      </c>
      <c r="G219">
        <v>42.789588999999999</v>
      </c>
      <c r="H219">
        <v>26</v>
      </c>
      <c r="I219" t="s">
        <v>377</v>
      </c>
      <c r="J219" t="s">
        <v>359</v>
      </c>
      <c r="K219">
        <v>48</v>
      </c>
      <c r="L219" s="16">
        <v>54</v>
      </c>
      <c r="M219">
        <v>2</v>
      </c>
      <c r="N219" t="s">
        <v>352</v>
      </c>
      <c r="O219" t="s">
        <v>355</v>
      </c>
      <c r="P219">
        <v>45</v>
      </c>
    </row>
    <row r="220" spans="1:16" hidden="1" x14ac:dyDescent="0.25">
      <c r="A220" t="s">
        <v>236</v>
      </c>
      <c r="B220" s="14" t="s">
        <v>1091</v>
      </c>
      <c r="C220" s="19"/>
      <c r="D220" s="19"/>
      <c r="E220" s="19"/>
      <c r="F220" s="16">
        <v>-76.276191999999995</v>
      </c>
      <c r="G220">
        <v>42.789648999999997</v>
      </c>
      <c r="H220">
        <v>29</v>
      </c>
      <c r="I220" t="s">
        <v>377</v>
      </c>
      <c r="J220" t="s">
        <v>359</v>
      </c>
      <c r="K220">
        <v>192</v>
      </c>
      <c r="L220" s="16">
        <v>219</v>
      </c>
      <c r="M220">
        <v>1</v>
      </c>
      <c r="N220" t="s">
        <v>352</v>
      </c>
      <c r="O220" t="s">
        <v>355</v>
      </c>
      <c r="P220">
        <v>187</v>
      </c>
    </row>
    <row r="221" spans="1:16" x14ac:dyDescent="0.25">
      <c r="K221"/>
      <c r="L221" s="14"/>
    </row>
    <row r="222" spans="1:16" x14ac:dyDescent="0.25">
      <c r="K222"/>
      <c r="L222" s="14"/>
    </row>
    <row r="223" spans="1:16" x14ac:dyDescent="0.25">
      <c r="K223"/>
      <c r="L223" s="14"/>
    </row>
    <row r="224" spans="1:16" x14ac:dyDescent="0.25">
      <c r="K224"/>
      <c r="L224" s="14"/>
    </row>
    <row r="225" spans="11:12" x14ac:dyDescent="0.25">
      <c r="K225"/>
      <c r="L225" s="14"/>
    </row>
    <row r="226" spans="11:12" x14ac:dyDescent="0.25">
      <c r="K226"/>
      <c r="L226" s="14"/>
    </row>
    <row r="227" spans="11:12" x14ac:dyDescent="0.25">
      <c r="K227"/>
      <c r="L227" s="14"/>
    </row>
    <row r="228" spans="11:12" x14ac:dyDescent="0.25">
      <c r="K228"/>
      <c r="L228" s="14"/>
    </row>
    <row r="229" spans="11:12" x14ac:dyDescent="0.25">
      <c r="K229"/>
      <c r="L229" s="14"/>
    </row>
    <row r="230" spans="11:12" x14ac:dyDescent="0.25">
      <c r="K230"/>
      <c r="L230" s="14"/>
    </row>
    <row r="231" spans="11:12" x14ac:dyDescent="0.25">
      <c r="K231"/>
      <c r="L231" s="14"/>
    </row>
    <row r="232" spans="11:12" x14ac:dyDescent="0.25">
      <c r="K232"/>
      <c r="L232" s="14"/>
    </row>
    <row r="233" spans="11:12" x14ac:dyDescent="0.25">
      <c r="K233"/>
      <c r="L233" s="14"/>
    </row>
    <row r="234" spans="11:12" x14ac:dyDescent="0.25">
      <c r="K234"/>
      <c r="L234" s="14"/>
    </row>
    <row r="235" spans="11:12" x14ac:dyDescent="0.25">
      <c r="K235"/>
      <c r="L235" s="14"/>
    </row>
    <row r="236" spans="11:12" x14ac:dyDescent="0.25">
      <c r="K236"/>
      <c r="L236" s="14"/>
    </row>
    <row r="237" spans="11:12" x14ac:dyDescent="0.25">
      <c r="K237"/>
      <c r="L237" s="14"/>
    </row>
    <row r="238" spans="11:12" x14ac:dyDescent="0.25">
      <c r="K238"/>
      <c r="L238" s="14"/>
    </row>
    <row r="239" spans="11:12" x14ac:dyDescent="0.25">
      <c r="K239"/>
      <c r="L239" s="14"/>
    </row>
    <row r="240" spans="11:12" x14ac:dyDescent="0.25">
      <c r="K240"/>
      <c r="L240" s="14"/>
    </row>
    <row r="241" spans="11:12" x14ac:dyDescent="0.25">
      <c r="K241"/>
      <c r="L241" s="14"/>
    </row>
    <row r="242" spans="11:12" x14ac:dyDescent="0.25">
      <c r="K242"/>
      <c r="L242" s="14"/>
    </row>
    <row r="243" spans="11:12" x14ac:dyDescent="0.25">
      <c r="K243"/>
      <c r="L243" s="14"/>
    </row>
    <row r="244" spans="11:12" x14ac:dyDescent="0.25">
      <c r="K244"/>
      <c r="L244" s="14"/>
    </row>
    <row r="245" spans="11:12" x14ac:dyDescent="0.25">
      <c r="K245"/>
      <c r="L245" s="14"/>
    </row>
    <row r="246" spans="11:12" x14ac:dyDescent="0.25">
      <c r="K246"/>
      <c r="L246" s="14"/>
    </row>
    <row r="247" spans="11:12" x14ac:dyDescent="0.25">
      <c r="K247"/>
      <c r="L247" s="14"/>
    </row>
    <row r="248" spans="11:12" x14ac:dyDescent="0.25">
      <c r="K248"/>
      <c r="L248" s="14"/>
    </row>
    <row r="249" spans="11:12" x14ac:dyDescent="0.25">
      <c r="K249"/>
      <c r="L249" s="14"/>
    </row>
    <row r="250" spans="11:12" x14ac:dyDescent="0.25">
      <c r="K250"/>
      <c r="L250" s="14"/>
    </row>
    <row r="251" spans="11:12" x14ac:dyDescent="0.25">
      <c r="K251"/>
      <c r="L251" s="14"/>
    </row>
    <row r="252" spans="11:12" x14ac:dyDescent="0.25">
      <c r="K252"/>
      <c r="L252" s="14"/>
    </row>
    <row r="253" spans="11:12" x14ac:dyDescent="0.25">
      <c r="K253"/>
      <c r="L253" s="14"/>
    </row>
    <row r="254" spans="11:12" x14ac:dyDescent="0.25">
      <c r="K254"/>
      <c r="L254" s="14"/>
    </row>
    <row r="255" spans="11:12" x14ac:dyDescent="0.25">
      <c r="K255"/>
      <c r="L255" s="14"/>
    </row>
    <row r="256" spans="11:12" x14ac:dyDescent="0.25">
      <c r="K256"/>
      <c r="L256" s="14"/>
    </row>
    <row r="257" spans="11:12" x14ac:dyDescent="0.25">
      <c r="K257"/>
      <c r="L257" s="14"/>
    </row>
    <row r="258" spans="11:12" x14ac:dyDescent="0.25">
      <c r="K258"/>
      <c r="L258" s="14"/>
    </row>
    <row r="259" spans="11:12" x14ac:dyDescent="0.25">
      <c r="K259"/>
      <c r="L259" s="14"/>
    </row>
  </sheetData>
  <autoFilter ref="A1:P220">
    <filterColumn colId="2">
      <filters>
        <filter val="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8"/>
  <sheetViews>
    <sheetView workbookViewId="0">
      <selection activeCell="B1" sqref="B1:B1048576"/>
    </sheetView>
  </sheetViews>
  <sheetFormatPr defaultRowHeight="15" x14ac:dyDescent="0.25"/>
  <cols>
    <col min="1" max="1" width="11.42578125" bestFit="1" customWidth="1"/>
  </cols>
  <sheetData>
    <row r="1" spans="1:16" x14ac:dyDescent="0.25">
      <c r="A1" t="s">
        <v>0</v>
      </c>
      <c r="B1" t="s">
        <v>383</v>
      </c>
      <c r="C1" t="s">
        <v>382</v>
      </c>
      <c r="D1" t="s">
        <v>341</v>
      </c>
      <c r="E1" t="s">
        <v>343</v>
      </c>
      <c r="F1" t="s">
        <v>342</v>
      </c>
      <c r="G1" t="s">
        <v>345</v>
      </c>
      <c r="H1" t="s">
        <v>1</v>
      </c>
      <c r="I1" t="s">
        <v>346</v>
      </c>
      <c r="J1" t="s">
        <v>348</v>
      </c>
      <c r="K1" t="s">
        <v>349</v>
      </c>
      <c r="L1" t="s">
        <v>2</v>
      </c>
      <c r="M1" t="s">
        <v>347</v>
      </c>
      <c r="N1" t="s">
        <v>350</v>
      </c>
      <c r="O1" t="s">
        <v>351</v>
      </c>
      <c r="P1" t="s">
        <v>3</v>
      </c>
    </row>
    <row r="2" spans="1:16" x14ac:dyDescent="0.25">
      <c r="A2" t="s">
        <v>4</v>
      </c>
      <c r="B2">
        <v>-76.426282</v>
      </c>
      <c r="C2">
        <v>42.934336999999999</v>
      </c>
      <c r="D2">
        <v>3</v>
      </c>
      <c r="E2" t="s">
        <v>358</v>
      </c>
      <c r="F2" t="s">
        <v>359</v>
      </c>
      <c r="G2">
        <v>196</v>
      </c>
      <c r="H2">
        <v>17</v>
      </c>
      <c r="I2">
        <v>0</v>
      </c>
      <c r="J2" t="s">
        <v>352</v>
      </c>
      <c r="K2" t="s">
        <v>353</v>
      </c>
      <c r="P2">
        <v>27</v>
      </c>
    </row>
    <row r="3" spans="1:16" x14ac:dyDescent="0.25">
      <c r="A3" t="s">
        <v>5</v>
      </c>
      <c r="B3">
        <v>-76.425749999999994</v>
      </c>
      <c r="C3">
        <v>42.934244</v>
      </c>
      <c r="D3">
        <v>3</v>
      </c>
      <c r="E3" t="s">
        <v>358</v>
      </c>
      <c r="F3" t="s">
        <v>360</v>
      </c>
      <c r="G3">
        <v>206</v>
      </c>
      <c r="H3">
        <v>16</v>
      </c>
      <c r="I3">
        <v>0</v>
      </c>
      <c r="J3" t="s">
        <v>352</v>
      </c>
      <c r="K3" t="s">
        <v>354</v>
      </c>
      <c r="P3">
        <v>89</v>
      </c>
    </row>
    <row r="4" spans="1:16" x14ac:dyDescent="0.25">
      <c r="A4" t="s">
        <v>6</v>
      </c>
      <c r="B4">
        <v>-76.415673999999996</v>
      </c>
      <c r="C4">
        <v>42.934573999999998</v>
      </c>
      <c r="D4">
        <v>5</v>
      </c>
      <c r="E4" t="s">
        <v>358</v>
      </c>
      <c r="F4" t="s">
        <v>359</v>
      </c>
      <c r="G4">
        <v>63</v>
      </c>
      <c r="H4">
        <v>234</v>
      </c>
      <c r="I4">
        <v>1</v>
      </c>
      <c r="J4" t="s">
        <v>352</v>
      </c>
      <c r="K4" t="s">
        <v>355</v>
      </c>
      <c r="P4">
        <v>11</v>
      </c>
    </row>
    <row r="5" spans="1:16" x14ac:dyDescent="0.25">
      <c r="A5" t="s">
        <v>7</v>
      </c>
      <c r="B5">
        <v>-76.422425000000004</v>
      </c>
      <c r="C5">
        <v>42.934502000000002</v>
      </c>
      <c r="D5">
        <v>5</v>
      </c>
      <c r="E5" t="s">
        <v>358</v>
      </c>
      <c r="F5" t="s">
        <v>359</v>
      </c>
      <c r="G5">
        <v>350</v>
      </c>
      <c r="H5">
        <v>124</v>
      </c>
      <c r="I5">
        <v>1</v>
      </c>
      <c r="J5" t="s">
        <v>352</v>
      </c>
      <c r="K5" t="s">
        <v>355</v>
      </c>
      <c r="P5">
        <v>48</v>
      </c>
    </row>
    <row r="6" spans="1:16" x14ac:dyDescent="0.25">
      <c r="A6" t="s">
        <v>8</v>
      </c>
      <c r="B6">
        <v>-76.422658999999996</v>
      </c>
      <c r="C6">
        <v>42.934376</v>
      </c>
      <c r="D6">
        <v>5</v>
      </c>
      <c r="E6" t="s">
        <v>358</v>
      </c>
      <c r="F6" t="s">
        <v>360</v>
      </c>
      <c r="G6">
        <v>219</v>
      </c>
      <c r="H6">
        <v>0</v>
      </c>
      <c r="I6">
        <v>0</v>
      </c>
      <c r="J6" t="s">
        <v>352</v>
      </c>
      <c r="K6" t="s">
        <v>356</v>
      </c>
      <c r="P6">
        <v>71</v>
      </c>
    </row>
    <row r="7" spans="1:16" x14ac:dyDescent="0.25">
      <c r="A7" t="s">
        <v>9</v>
      </c>
      <c r="B7">
        <v>-76.416133000000002</v>
      </c>
      <c r="C7">
        <v>42.934376</v>
      </c>
      <c r="D7">
        <v>6</v>
      </c>
      <c r="E7" t="s">
        <v>358</v>
      </c>
      <c r="F7" t="s">
        <v>359</v>
      </c>
      <c r="G7">
        <v>160</v>
      </c>
      <c r="H7">
        <v>186</v>
      </c>
      <c r="I7">
        <v>2</v>
      </c>
      <c r="J7" t="s">
        <v>352</v>
      </c>
      <c r="K7" t="s">
        <v>355</v>
      </c>
      <c r="P7">
        <v>191</v>
      </c>
    </row>
    <row r="8" spans="1:16" x14ac:dyDescent="0.25">
      <c r="A8" t="s">
        <v>87</v>
      </c>
      <c r="B8">
        <v>-76.406976</v>
      </c>
      <c r="C8">
        <v>42.922662000000003</v>
      </c>
      <c r="D8">
        <v>2</v>
      </c>
      <c r="E8" t="s">
        <v>369</v>
      </c>
      <c r="F8" t="s">
        <v>359</v>
      </c>
      <c r="L8">
        <v>231</v>
      </c>
      <c r="M8">
        <v>2</v>
      </c>
      <c r="N8" t="s">
        <v>357</v>
      </c>
      <c r="O8" t="s">
        <v>355</v>
      </c>
      <c r="P8">
        <v>16</v>
      </c>
    </row>
    <row r="9" spans="1:16" x14ac:dyDescent="0.25">
      <c r="A9" t="s">
        <v>88</v>
      </c>
      <c r="B9">
        <v>-76.427498999999997</v>
      </c>
      <c r="C9">
        <v>42.920397999999999</v>
      </c>
      <c r="D9">
        <v>2</v>
      </c>
      <c r="E9" t="s">
        <v>369</v>
      </c>
      <c r="F9" t="s">
        <v>359</v>
      </c>
      <c r="L9">
        <v>0</v>
      </c>
      <c r="M9">
        <v>0</v>
      </c>
      <c r="N9" t="s">
        <v>352</v>
      </c>
      <c r="O9" t="s">
        <v>356</v>
      </c>
      <c r="P9">
        <v>140</v>
      </c>
    </row>
    <row r="10" spans="1:16" x14ac:dyDescent="0.25">
      <c r="A10" t="s">
        <v>89</v>
      </c>
      <c r="B10">
        <v>-76.427256</v>
      </c>
      <c r="C10">
        <v>42.920575999999997</v>
      </c>
      <c r="D10">
        <v>3</v>
      </c>
      <c r="E10" t="s">
        <v>369</v>
      </c>
      <c r="F10" t="s">
        <v>359</v>
      </c>
      <c r="L10">
        <v>56</v>
      </c>
      <c r="M10">
        <v>0</v>
      </c>
      <c r="N10" t="s">
        <v>352</v>
      </c>
      <c r="O10" t="s">
        <v>353</v>
      </c>
      <c r="P10">
        <v>31</v>
      </c>
    </row>
    <row r="11" spans="1:16" x14ac:dyDescent="0.25">
      <c r="A11" t="s">
        <v>90</v>
      </c>
      <c r="B11">
        <v>-76.426877000000005</v>
      </c>
      <c r="C11">
        <v>42.920867000000001</v>
      </c>
      <c r="D11">
        <v>5</v>
      </c>
      <c r="E11" t="s">
        <v>369</v>
      </c>
      <c r="F11" t="s">
        <v>359</v>
      </c>
      <c r="L11">
        <v>0</v>
      </c>
      <c r="M11">
        <v>0</v>
      </c>
      <c r="N11" t="s">
        <v>352</v>
      </c>
      <c r="O11" t="s">
        <v>356</v>
      </c>
      <c r="P11">
        <v>600</v>
      </c>
    </row>
    <row r="12" spans="1:16" x14ac:dyDescent="0.25">
      <c r="A12" t="s">
        <v>91</v>
      </c>
      <c r="B12">
        <v>-76.413816999999995</v>
      </c>
      <c r="C12">
        <v>42.922899000000001</v>
      </c>
      <c r="D12">
        <v>8</v>
      </c>
      <c r="E12" t="s">
        <v>369</v>
      </c>
      <c r="F12" t="s">
        <v>359</v>
      </c>
      <c r="L12">
        <v>0</v>
      </c>
      <c r="M12">
        <v>0</v>
      </c>
      <c r="N12" t="s">
        <v>352</v>
      </c>
      <c r="O12" t="s">
        <v>356</v>
      </c>
      <c r="P12">
        <v>996</v>
      </c>
    </row>
    <row r="13" spans="1:16" x14ac:dyDescent="0.25">
      <c r="A13" t="s">
        <v>92</v>
      </c>
      <c r="B13">
        <v>-76.426507999999998</v>
      </c>
      <c r="C13">
        <v>42.921123999999999</v>
      </c>
      <c r="D13">
        <v>8</v>
      </c>
      <c r="E13" t="s">
        <v>369</v>
      </c>
      <c r="F13" t="s">
        <v>359</v>
      </c>
      <c r="L13">
        <v>192</v>
      </c>
      <c r="M13">
        <v>1</v>
      </c>
      <c r="N13" t="s">
        <v>352</v>
      </c>
      <c r="O13" t="s">
        <v>355</v>
      </c>
      <c r="P13">
        <v>145</v>
      </c>
    </row>
    <row r="14" spans="1:16" x14ac:dyDescent="0.25">
      <c r="A14" t="s">
        <v>93</v>
      </c>
      <c r="B14">
        <v>-76.424533999999994</v>
      </c>
      <c r="C14">
        <v>42.922286</v>
      </c>
      <c r="D14">
        <v>10</v>
      </c>
      <c r="E14" t="s">
        <v>369</v>
      </c>
      <c r="F14" t="s">
        <v>359</v>
      </c>
      <c r="L14">
        <v>0</v>
      </c>
      <c r="M14">
        <v>0</v>
      </c>
      <c r="N14" t="s">
        <v>352</v>
      </c>
      <c r="O14" t="s">
        <v>356</v>
      </c>
      <c r="P14">
        <v>175</v>
      </c>
    </row>
    <row r="15" spans="1:16" x14ac:dyDescent="0.25">
      <c r="A15" t="s">
        <v>94</v>
      </c>
      <c r="B15">
        <v>-76.414015000000006</v>
      </c>
      <c r="C15">
        <v>42.922820000000002</v>
      </c>
      <c r="D15">
        <v>11</v>
      </c>
      <c r="E15" t="s">
        <v>369</v>
      </c>
      <c r="F15" t="s">
        <v>359</v>
      </c>
      <c r="L15">
        <v>142</v>
      </c>
      <c r="M15">
        <v>1</v>
      </c>
      <c r="N15" t="s">
        <v>352</v>
      </c>
      <c r="O15" t="s">
        <v>355</v>
      </c>
      <c r="P15">
        <v>89</v>
      </c>
    </row>
    <row r="16" spans="1:16" x14ac:dyDescent="0.25">
      <c r="A16" t="s">
        <v>95</v>
      </c>
      <c r="B16">
        <v>-76.414357999999993</v>
      </c>
      <c r="C16">
        <v>42.922820000000002</v>
      </c>
      <c r="D16">
        <v>14</v>
      </c>
      <c r="E16" t="s">
        <v>369</v>
      </c>
      <c r="F16" t="s">
        <v>359</v>
      </c>
      <c r="L16">
        <v>17</v>
      </c>
      <c r="M16">
        <v>0</v>
      </c>
      <c r="N16" t="s">
        <v>352</v>
      </c>
      <c r="O16" t="s">
        <v>356</v>
      </c>
      <c r="P16">
        <v>61</v>
      </c>
    </row>
    <row r="17" spans="1:16" x14ac:dyDescent="0.25">
      <c r="A17" t="s">
        <v>96</v>
      </c>
      <c r="B17">
        <v>-76.420936999999995</v>
      </c>
      <c r="C17">
        <v>42.922873000000003</v>
      </c>
      <c r="D17">
        <v>14</v>
      </c>
      <c r="E17" t="s">
        <v>369</v>
      </c>
      <c r="F17" t="s">
        <v>359</v>
      </c>
      <c r="L17">
        <v>182</v>
      </c>
      <c r="M17">
        <v>2</v>
      </c>
      <c r="N17" t="s">
        <v>352</v>
      </c>
      <c r="O17" t="s">
        <v>355</v>
      </c>
      <c r="P17">
        <v>226</v>
      </c>
    </row>
    <row r="18" spans="1:16" x14ac:dyDescent="0.25">
      <c r="A18" t="s">
        <v>97</v>
      </c>
      <c r="B18">
        <v>-76.414799000000002</v>
      </c>
      <c r="C18">
        <v>42.923077999999997</v>
      </c>
      <c r="D18">
        <v>17</v>
      </c>
      <c r="E18" t="s">
        <v>369</v>
      </c>
      <c r="F18" t="s">
        <v>359</v>
      </c>
      <c r="L18">
        <v>209</v>
      </c>
      <c r="M18">
        <v>2</v>
      </c>
      <c r="N18" t="s">
        <v>352</v>
      </c>
      <c r="O18" t="s">
        <v>355</v>
      </c>
      <c r="P18">
        <v>38</v>
      </c>
    </row>
    <row r="19" spans="1:16" x14ac:dyDescent="0.25">
      <c r="A19" t="s">
        <v>98</v>
      </c>
      <c r="B19">
        <v>-76.420468999999997</v>
      </c>
      <c r="C19">
        <v>42.922832999999997</v>
      </c>
      <c r="D19">
        <v>17</v>
      </c>
      <c r="E19" t="s">
        <v>369</v>
      </c>
      <c r="F19" t="s">
        <v>359</v>
      </c>
      <c r="L19">
        <v>159</v>
      </c>
      <c r="M19">
        <v>2</v>
      </c>
      <c r="N19" t="s">
        <v>352</v>
      </c>
      <c r="O19" t="s">
        <v>355</v>
      </c>
      <c r="P19">
        <v>112</v>
      </c>
    </row>
    <row r="20" spans="1:16" x14ac:dyDescent="0.25">
      <c r="A20" t="s">
        <v>99</v>
      </c>
      <c r="B20">
        <v>-76.415925999999999</v>
      </c>
      <c r="C20">
        <v>42.922840000000001</v>
      </c>
      <c r="D20">
        <v>21</v>
      </c>
      <c r="E20" t="s">
        <v>369</v>
      </c>
      <c r="F20" t="s">
        <v>359</v>
      </c>
      <c r="L20">
        <v>172</v>
      </c>
      <c r="M20">
        <v>2</v>
      </c>
      <c r="N20" t="s">
        <v>352</v>
      </c>
      <c r="O20" t="s">
        <v>355</v>
      </c>
      <c r="P20">
        <v>237</v>
      </c>
    </row>
    <row r="21" spans="1:16" x14ac:dyDescent="0.25">
      <c r="A21" t="s">
        <v>100</v>
      </c>
      <c r="B21">
        <v>-76.418719999999993</v>
      </c>
      <c r="C21">
        <v>42.922800000000002</v>
      </c>
      <c r="D21">
        <v>24</v>
      </c>
      <c r="E21" t="s">
        <v>369</v>
      </c>
      <c r="F21" t="s">
        <v>359</v>
      </c>
      <c r="L21">
        <v>239</v>
      </c>
      <c r="M21">
        <v>2</v>
      </c>
      <c r="N21" t="s">
        <v>352</v>
      </c>
      <c r="O21" t="s">
        <v>355</v>
      </c>
      <c r="P21">
        <v>124</v>
      </c>
    </row>
    <row r="22" spans="1:16" x14ac:dyDescent="0.25">
      <c r="A22" t="s">
        <v>10</v>
      </c>
      <c r="B22">
        <v>-76.390435999999994</v>
      </c>
      <c r="C22">
        <v>42.895178999999999</v>
      </c>
      <c r="D22">
        <v>2</v>
      </c>
      <c r="E22" t="s">
        <v>361</v>
      </c>
      <c r="F22" t="s">
        <v>359</v>
      </c>
      <c r="G22">
        <v>408</v>
      </c>
      <c r="H22">
        <v>333</v>
      </c>
      <c r="I22">
        <v>1</v>
      </c>
      <c r="J22" t="s">
        <v>357</v>
      </c>
      <c r="K22" t="s">
        <v>354</v>
      </c>
      <c r="P22">
        <v>80</v>
      </c>
    </row>
    <row r="23" spans="1:16" x14ac:dyDescent="0.25">
      <c r="A23" t="s">
        <v>12</v>
      </c>
      <c r="B23">
        <v>-76.346198000000001</v>
      </c>
      <c r="C23">
        <v>42.833731999999998</v>
      </c>
      <c r="D23">
        <v>2</v>
      </c>
      <c r="E23" t="s">
        <v>361</v>
      </c>
      <c r="F23" t="s">
        <v>359</v>
      </c>
      <c r="G23">
        <v>85</v>
      </c>
      <c r="H23">
        <v>77</v>
      </c>
      <c r="I23">
        <v>2</v>
      </c>
      <c r="J23" t="s">
        <v>357</v>
      </c>
      <c r="K23" t="s">
        <v>355</v>
      </c>
      <c r="L23">
        <v>0</v>
      </c>
      <c r="M23">
        <v>2</v>
      </c>
      <c r="N23" t="s">
        <v>352</v>
      </c>
      <c r="O23" t="s">
        <v>356</v>
      </c>
      <c r="P23">
        <v>9</v>
      </c>
    </row>
    <row r="24" spans="1:16" x14ac:dyDescent="0.25">
      <c r="A24" t="s">
        <v>14</v>
      </c>
      <c r="B24">
        <v>-76.390535</v>
      </c>
      <c r="C24">
        <v>42.895093000000003</v>
      </c>
      <c r="D24">
        <v>3</v>
      </c>
      <c r="E24" t="s">
        <v>361</v>
      </c>
      <c r="F24" t="s">
        <v>359</v>
      </c>
      <c r="G24">
        <v>326</v>
      </c>
      <c r="H24">
        <v>0</v>
      </c>
      <c r="I24">
        <v>0</v>
      </c>
      <c r="J24" t="s">
        <v>352</v>
      </c>
      <c r="K24" t="s">
        <v>356</v>
      </c>
      <c r="P24">
        <v>24</v>
      </c>
    </row>
    <row r="25" spans="1:16" x14ac:dyDescent="0.25">
      <c r="A25" t="s">
        <v>15</v>
      </c>
      <c r="B25">
        <v>-76.346090000000004</v>
      </c>
      <c r="C25">
        <v>42.833731999999998</v>
      </c>
      <c r="D25">
        <v>3</v>
      </c>
      <c r="E25" t="s">
        <v>361</v>
      </c>
      <c r="F25" t="s">
        <v>359</v>
      </c>
      <c r="G25">
        <v>55</v>
      </c>
      <c r="H25">
        <v>44</v>
      </c>
      <c r="I25">
        <v>0</v>
      </c>
      <c r="J25" t="s">
        <v>352</v>
      </c>
      <c r="K25" t="s">
        <v>356</v>
      </c>
      <c r="L25">
        <v>0</v>
      </c>
      <c r="M25">
        <v>2</v>
      </c>
      <c r="N25" t="s">
        <v>352</v>
      </c>
      <c r="O25" t="s">
        <v>356</v>
      </c>
      <c r="P25">
        <v>75</v>
      </c>
    </row>
    <row r="26" spans="1:16" x14ac:dyDescent="0.25">
      <c r="A26" t="s">
        <v>18</v>
      </c>
      <c r="B26">
        <v>-76.390895999999998</v>
      </c>
      <c r="C26">
        <v>42.894928</v>
      </c>
      <c r="D26">
        <v>5</v>
      </c>
      <c r="E26" t="s">
        <v>361</v>
      </c>
      <c r="F26" t="s">
        <v>359</v>
      </c>
      <c r="G26">
        <v>312</v>
      </c>
      <c r="H26">
        <v>1</v>
      </c>
      <c r="I26">
        <v>0</v>
      </c>
      <c r="J26" t="s">
        <v>352</v>
      </c>
      <c r="K26" t="s">
        <v>356</v>
      </c>
      <c r="P26">
        <v>312</v>
      </c>
    </row>
    <row r="27" spans="1:16" x14ac:dyDescent="0.25">
      <c r="A27" t="s">
        <v>19</v>
      </c>
      <c r="B27">
        <v>-76.411861000000002</v>
      </c>
      <c r="C27">
        <v>42.894782999999997</v>
      </c>
      <c r="D27">
        <v>5</v>
      </c>
      <c r="E27" t="s">
        <v>361</v>
      </c>
      <c r="F27" t="s">
        <v>359</v>
      </c>
      <c r="G27">
        <v>190</v>
      </c>
      <c r="H27">
        <v>177</v>
      </c>
      <c r="I27">
        <v>1</v>
      </c>
      <c r="J27" t="s">
        <v>352</v>
      </c>
      <c r="K27" t="s">
        <v>353</v>
      </c>
      <c r="L27">
        <v>0</v>
      </c>
      <c r="M27">
        <v>1</v>
      </c>
      <c r="N27" t="s">
        <v>352</v>
      </c>
      <c r="O27" t="s">
        <v>355</v>
      </c>
      <c r="P27">
        <v>779</v>
      </c>
    </row>
    <row r="28" spans="1:16" x14ac:dyDescent="0.25">
      <c r="A28" t="s">
        <v>101</v>
      </c>
      <c r="B28">
        <v>-76.411888000000005</v>
      </c>
      <c r="C28">
        <v>42.895125999999998</v>
      </c>
      <c r="D28">
        <v>7</v>
      </c>
      <c r="E28" t="s">
        <v>361</v>
      </c>
      <c r="F28" t="s">
        <v>359</v>
      </c>
      <c r="L28">
        <v>68</v>
      </c>
      <c r="M28">
        <v>0</v>
      </c>
      <c r="N28" t="s">
        <v>352</v>
      </c>
      <c r="O28" t="s">
        <v>354</v>
      </c>
      <c r="P28">
        <v>590</v>
      </c>
    </row>
    <row r="29" spans="1:16" x14ac:dyDescent="0.25">
      <c r="A29" t="s">
        <v>21</v>
      </c>
      <c r="B29">
        <v>-76.391193000000001</v>
      </c>
      <c r="C29">
        <v>42.895040000000002</v>
      </c>
      <c r="D29">
        <v>8</v>
      </c>
      <c r="E29" t="s">
        <v>361</v>
      </c>
      <c r="F29" t="s">
        <v>359</v>
      </c>
      <c r="G29">
        <v>194</v>
      </c>
      <c r="H29">
        <v>0</v>
      </c>
      <c r="I29">
        <v>0</v>
      </c>
      <c r="J29" t="s">
        <v>352</v>
      </c>
      <c r="K29" t="s">
        <v>356</v>
      </c>
      <c r="P29">
        <v>234</v>
      </c>
    </row>
    <row r="30" spans="1:16" x14ac:dyDescent="0.25">
      <c r="A30" t="s">
        <v>22</v>
      </c>
      <c r="B30">
        <v>-76.391193000000001</v>
      </c>
      <c r="C30">
        <v>42.895040000000002</v>
      </c>
      <c r="D30">
        <v>8</v>
      </c>
      <c r="E30" t="s">
        <v>361</v>
      </c>
      <c r="F30" t="s">
        <v>360</v>
      </c>
      <c r="G30">
        <v>170</v>
      </c>
      <c r="H30">
        <v>0</v>
      </c>
      <c r="I30">
        <v>0</v>
      </c>
      <c r="J30" t="s">
        <v>352</v>
      </c>
      <c r="K30" t="s">
        <v>356</v>
      </c>
      <c r="P30">
        <v>405</v>
      </c>
    </row>
    <row r="31" spans="1:16" x14ac:dyDescent="0.25">
      <c r="A31" t="s">
        <v>24</v>
      </c>
      <c r="B31">
        <v>-76.391499999999994</v>
      </c>
      <c r="C31">
        <v>42.895133000000001</v>
      </c>
      <c r="D31">
        <v>11</v>
      </c>
      <c r="E31" t="s">
        <v>361</v>
      </c>
      <c r="F31" t="s">
        <v>359</v>
      </c>
      <c r="G31">
        <v>684</v>
      </c>
      <c r="H31">
        <v>575</v>
      </c>
      <c r="I31">
        <v>1</v>
      </c>
      <c r="J31" t="s">
        <v>352</v>
      </c>
      <c r="K31" t="s">
        <v>355</v>
      </c>
      <c r="P31">
        <v>313</v>
      </c>
    </row>
    <row r="32" spans="1:16" x14ac:dyDescent="0.25">
      <c r="A32" t="s">
        <v>25</v>
      </c>
      <c r="B32">
        <v>-76.411698999999999</v>
      </c>
      <c r="C32">
        <v>42.894902000000002</v>
      </c>
      <c r="D32">
        <v>11</v>
      </c>
      <c r="E32" t="s">
        <v>361</v>
      </c>
      <c r="F32" t="s">
        <v>359</v>
      </c>
      <c r="G32">
        <v>295</v>
      </c>
      <c r="H32">
        <v>526</v>
      </c>
      <c r="I32">
        <v>2</v>
      </c>
      <c r="J32" t="s">
        <v>352</v>
      </c>
      <c r="K32" t="s">
        <v>355</v>
      </c>
      <c r="L32">
        <v>217</v>
      </c>
      <c r="M32">
        <v>0</v>
      </c>
      <c r="N32" t="s">
        <v>352</v>
      </c>
      <c r="O32" t="s">
        <v>355</v>
      </c>
      <c r="P32">
        <v>211</v>
      </c>
    </row>
    <row r="33" spans="1:16" x14ac:dyDescent="0.25">
      <c r="A33" t="s">
        <v>27</v>
      </c>
      <c r="B33">
        <v>-76.391689</v>
      </c>
      <c r="C33">
        <v>42.895184999999998</v>
      </c>
      <c r="D33">
        <v>14</v>
      </c>
      <c r="E33" t="s">
        <v>361</v>
      </c>
      <c r="F33" t="s">
        <v>359</v>
      </c>
      <c r="G33">
        <v>244</v>
      </c>
      <c r="H33">
        <v>394</v>
      </c>
      <c r="I33">
        <v>2</v>
      </c>
      <c r="J33" t="s">
        <v>352</v>
      </c>
      <c r="K33" t="s">
        <v>354</v>
      </c>
      <c r="P33">
        <v>193</v>
      </c>
    </row>
    <row r="34" spans="1:16" x14ac:dyDescent="0.25">
      <c r="A34" t="s">
        <v>29</v>
      </c>
      <c r="B34">
        <v>-76.411663000000004</v>
      </c>
      <c r="C34">
        <v>42.895015666666701</v>
      </c>
      <c r="D34">
        <v>14</v>
      </c>
      <c r="E34" t="s">
        <v>361</v>
      </c>
      <c r="F34" t="s">
        <v>360</v>
      </c>
      <c r="G34">
        <v>171</v>
      </c>
      <c r="H34">
        <v>356</v>
      </c>
      <c r="I34">
        <v>1</v>
      </c>
      <c r="J34" t="s">
        <v>352</v>
      </c>
      <c r="K34" t="s">
        <v>355</v>
      </c>
      <c r="L34">
        <v>119</v>
      </c>
      <c r="M34">
        <v>0</v>
      </c>
      <c r="N34" t="s">
        <v>352</v>
      </c>
      <c r="O34" t="s">
        <v>355</v>
      </c>
      <c r="P34">
        <v>127</v>
      </c>
    </row>
    <row r="35" spans="1:16" x14ac:dyDescent="0.25">
      <c r="A35" t="s">
        <v>30</v>
      </c>
      <c r="B35">
        <v>-76.391941000000003</v>
      </c>
      <c r="C35">
        <v>42.895271000000001</v>
      </c>
      <c r="D35">
        <v>17</v>
      </c>
      <c r="E35" t="s">
        <v>361</v>
      </c>
      <c r="F35" t="s">
        <v>359</v>
      </c>
      <c r="G35">
        <v>1481</v>
      </c>
      <c r="H35">
        <v>642</v>
      </c>
      <c r="I35">
        <v>1</v>
      </c>
      <c r="J35" t="s">
        <v>352</v>
      </c>
      <c r="K35" t="s">
        <v>355</v>
      </c>
      <c r="P35">
        <v>377</v>
      </c>
    </row>
    <row r="36" spans="1:16" x14ac:dyDescent="0.25">
      <c r="A36" t="s">
        <v>102</v>
      </c>
      <c r="B36">
        <v>-76.411598999999995</v>
      </c>
      <c r="C36">
        <v>42.895119000000001</v>
      </c>
      <c r="D36">
        <v>18</v>
      </c>
      <c r="E36" t="s">
        <v>361</v>
      </c>
      <c r="F36" t="s">
        <v>359</v>
      </c>
      <c r="L36">
        <v>281</v>
      </c>
      <c r="M36">
        <v>2</v>
      </c>
      <c r="N36" t="s">
        <v>352</v>
      </c>
      <c r="O36" t="s">
        <v>355</v>
      </c>
      <c r="P36">
        <v>238</v>
      </c>
    </row>
    <row r="37" spans="1:16" x14ac:dyDescent="0.25">
      <c r="A37" t="s">
        <v>103</v>
      </c>
      <c r="B37">
        <v>-76.392464000000004</v>
      </c>
      <c r="C37">
        <v>42.895046999999998</v>
      </c>
      <c r="D37">
        <v>24</v>
      </c>
      <c r="E37" t="s">
        <v>361</v>
      </c>
      <c r="F37" t="s">
        <v>359</v>
      </c>
      <c r="L37">
        <v>308</v>
      </c>
      <c r="M37">
        <v>2</v>
      </c>
      <c r="N37" t="s">
        <v>352</v>
      </c>
      <c r="O37" t="s">
        <v>355</v>
      </c>
      <c r="P37">
        <v>281</v>
      </c>
    </row>
    <row r="38" spans="1:16" x14ac:dyDescent="0.25">
      <c r="A38" t="s">
        <v>104</v>
      </c>
      <c r="B38">
        <v>-76.411185000000003</v>
      </c>
      <c r="C38">
        <v>42.895007</v>
      </c>
      <c r="D38">
        <v>24</v>
      </c>
      <c r="E38" t="s">
        <v>361</v>
      </c>
      <c r="F38" t="s">
        <v>359</v>
      </c>
      <c r="L38">
        <v>268</v>
      </c>
      <c r="M38">
        <v>2</v>
      </c>
      <c r="N38" t="s">
        <v>352</v>
      </c>
      <c r="O38" t="s">
        <v>355</v>
      </c>
      <c r="P38">
        <v>298</v>
      </c>
    </row>
    <row r="39" spans="1:16" x14ac:dyDescent="0.25">
      <c r="A39" t="s">
        <v>105</v>
      </c>
      <c r="B39">
        <v>-76.410652999999996</v>
      </c>
      <c r="C39">
        <v>42.894953999999998</v>
      </c>
      <c r="D39">
        <v>29</v>
      </c>
      <c r="E39" t="s">
        <v>361</v>
      </c>
      <c r="F39" t="s">
        <v>359</v>
      </c>
      <c r="L39">
        <v>199</v>
      </c>
      <c r="M39">
        <v>2</v>
      </c>
      <c r="N39" t="s">
        <v>352</v>
      </c>
      <c r="O39" t="s">
        <v>355</v>
      </c>
      <c r="P39">
        <v>173</v>
      </c>
    </row>
    <row r="40" spans="1:16" x14ac:dyDescent="0.25">
      <c r="A40" t="s">
        <v>106</v>
      </c>
      <c r="B40">
        <v>-76.392968999999994</v>
      </c>
      <c r="C40">
        <v>42.89508</v>
      </c>
      <c r="D40">
        <v>31</v>
      </c>
      <c r="E40" t="s">
        <v>361</v>
      </c>
      <c r="F40" t="s">
        <v>359</v>
      </c>
      <c r="L40">
        <v>277</v>
      </c>
      <c r="M40">
        <v>2</v>
      </c>
      <c r="N40" t="s">
        <v>352</v>
      </c>
      <c r="O40" t="s">
        <v>355</v>
      </c>
      <c r="P40">
        <v>62</v>
      </c>
    </row>
    <row r="41" spans="1:16" x14ac:dyDescent="0.25">
      <c r="A41" t="s">
        <v>107</v>
      </c>
      <c r="B41">
        <v>-76.394068000000004</v>
      </c>
      <c r="C41">
        <v>42.895007</v>
      </c>
      <c r="D41">
        <v>38</v>
      </c>
      <c r="E41" t="s">
        <v>361</v>
      </c>
      <c r="F41" t="s">
        <v>359</v>
      </c>
      <c r="L41">
        <v>146</v>
      </c>
      <c r="M41">
        <v>2</v>
      </c>
      <c r="N41" t="s">
        <v>352</v>
      </c>
      <c r="O41" t="s">
        <v>355</v>
      </c>
      <c r="P41">
        <v>45</v>
      </c>
    </row>
    <row r="42" spans="1:16" x14ac:dyDescent="0.25">
      <c r="A42" t="s">
        <v>108</v>
      </c>
      <c r="B42">
        <v>-76.410166000000004</v>
      </c>
      <c r="C42">
        <v>42.894981000000001</v>
      </c>
      <c r="D42">
        <v>39</v>
      </c>
      <c r="E42" t="s">
        <v>361</v>
      </c>
      <c r="F42" t="s">
        <v>359</v>
      </c>
      <c r="L42">
        <v>98</v>
      </c>
      <c r="M42">
        <v>2</v>
      </c>
      <c r="N42" t="s">
        <v>352</v>
      </c>
      <c r="O42" t="s">
        <v>355</v>
      </c>
      <c r="P42">
        <v>23</v>
      </c>
    </row>
    <row r="43" spans="1:16" x14ac:dyDescent="0.25">
      <c r="A43" t="s">
        <v>265</v>
      </c>
      <c r="B43">
        <v>-76.394807999999998</v>
      </c>
      <c r="C43">
        <v>42.894967999999999</v>
      </c>
      <c r="D43">
        <v>43</v>
      </c>
      <c r="E43" t="s">
        <v>361</v>
      </c>
      <c r="F43" t="s">
        <v>359</v>
      </c>
      <c r="L43">
        <v>135</v>
      </c>
      <c r="M43">
        <v>2</v>
      </c>
      <c r="N43" t="s">
        <v>352</v>
      </c>
      <c r="O43" t="s">
        <v>355</v>
      </c>
      <c r="P43">
        <v>48</v>
      </c>
    </row>
    <row r="44" spans="1:16" x14ac:dyDescent="0.25">
      <c r="A44" t="s">
        <v>110</v>
      </c>
      <c r="B44">
        <v>-76.409561999999994</v>
      </c>
      <c r="C44">
        <v>42.894902000000002</v>
      </c>
      <c r="D44">
        <v>45</v>
      </c>
      <c r="E44" t="s">
        <v>361</v>
      </c>
      <c r="F44" t="s">
        <v>359</v>
      </c>
      <c r="L44">
        <v>73</v>
      </c>
      <c r="M44">
        <v>2</v>
      </c>
      <c r="N44" t="s">
        <v>352</v>
      </c>
      <c r="O44" t="s">
        <v>355</v>
      </c>
      <c r="P44">
        <v>115</v>
      </c>
    </row>
    <row r="45" spans="1:16" x14ac:dyDescent="0.25">
      <c r="A45" t="s">
        <v>111</v>
      </c>
      <c r="B45">
        <v>-76.397132294201398</v>
      </c>
      <c r="C45">
        <v>42.895041392865899</v>
      </c>
      <c r="D45">
        <v>52</v>
      </c>
      <c r="E45" t="s">
        <v>361</v>
      </c>
      <c r="F45" t="s">
        <v>359</v>
      </c>
      <c r="L45">
        <v>45</v>
      </c>
      <c r="M45">
        <v>2</v>
      </c>
      <c r="N45" t="s">
        <v>352</v>
      </c>
      <c r="O45" t="s">
        <v>355</v>
      </c>
      <c r="P45">
        <v>29</v>
      </c>
    </row>
    <row r="46" spans="1:16" x14ac:dyDescent="0.25">
      <c r="A46" t="s">
        <v>112</v>
      </c>
      <c r="B46">
        <v>-76.397277000000003</v>
      </c>
      <c r="C46">
        <v>42.895046999999998</v>
      </c>
      <c r="D46">
        <v>53</v>
      </c>
      <c r="E46" t="s">
        <v>361</v>
      </c>
      <c r="F46" t="s">
        <v>359</v>
      </c>
      <c r="P46">
        <v>34</v>
      </c>
    </row>
    <row r="47" spans="1:16" x14ac:dyDescent="0.25">
      <c r="A47" t="s">
        <v>113</v>
      </c>
      <c r="B47">
        <v>-76.408472000000003</v>
      </c>
      <c r="C47">
        <v>42.895066999999997</v>
      </c>
      <c r="D47">
        <v>53</v>
      </c>
      <c r="E47" t="s">
        <v>361</v>
      </c>
      <c r="F47" t="s">
        <v>359</v>
      </c>
      <c r="L47">
        <v>38</v>
      </c>
      <c r="M47">
        <v>2</v>
      </c>
      <c r="N47" t="s">
        <v>352</v>
      </c>
      <c r="O47" t="s">
        <v>355</v>
      </c>
      <c r="P47">
        <v>30</v>
      </c>
    </row>
    <row r="48" spans="1:16" x14ac:dyDescent="0.25">
      <c r="A48" t="s">
        <v>114</v>
      </c>
      <c r="B48">
        <v>-76.399827999999999</v>
      </c>
      <c r="C48">
        <v>42.895014000000003</v>
      </c>
      <c r="D48">
        <v>60</v>
      </c>
      <c r="E48" t="s">
        <v>361</v>
      </c>
      <c r="F48" t="s">
        <v>359</v>
      </c>
      <c r="P48">
        <v>86</v>
      </c>
    </row>
    <row r="49" spans="1:16" x14ac:dyDescent="0.25">
      <c r="A49" t="s">
        <v>115</v>
      </c>
      <c r="B49">
        <v>-76.396862999999996</v>
      </c>
      <c r="C49">
        <v>42.860430000000001</v>
      </c>
      <c r="D49">
        <v>2</v>
      </c>
      <c r="E49" t="s">
        <v>371</v>
      </c>
      <c r="F49" t="s">
        <v>359</v>
      </c>
      <c r="L49">
        <v>141</v>
      </c>
      <c r="M49">
        <v>1</v>
      </c>
      <c r="N49" t="s">
        <v>357</v>
      </c>
      <c r="O49" t="s">
        <v>354</v>
      </c>
      <c r="P49">
        <v>77</v>
      </c>
    </row>
    <row r="50" spans="1:16" x14ac:dyDescent="0.25">
      <c r="A50" t="s">
        <v>116</v>
      </c>
      <c r="B50">
        <v>-76.360286000000002</v>
      </c>
      <c r="C50">
        <v>42.861507000000003</v>
      </c>
      <c r="D50">
        <v>3</v>
      </c>
      <c r="E50" t="s">
        <v>371</v>
      </c>
      <c r="F50" t="s">
        <v>359</v>
      </c>
      <c r="L50">
        <v>330</v>
      </c>
      <c r="M50">
        <v>2</v>
      </c>
      <c r="N50" t="s">
        <v>352</v>
      </c>
      <c r="O50" t="s">
        <v>355</v>
      </c>
      <c r="P50">
        <v>233</v>
      </c>
    </row>
    <row r="51" spans="1:16" x14ac:dyDescent="0.25">
      <c r="A51" t="s">
        <v>117</v>
      </c>
      <c r="B51">
        <v>-76.396591999999998</v>
      </c>
      <c r="C51">
        <v>42.860554999999998</v>
      </c>
      <c r="D51">
        <v>3</v>
      </c>
      <c r="E51" t="s">
        <v>371</v>
      </c>
      <c r="F51" t="s">
        <v>359</v>
      </c>
      <c r="L51">
        <v>82</v>
      </c>
      <c r="M51">
        <v>1</v>
      </c>
      <c r="N51" t="s">
        <v>352</v>
      </c>
      <c r="O51" t="s">
        <v>354</v>
      </c>
      <c r="P51">
        <v>39</v>
      </c>
    </row>
    <row r="52" spans="1:16" x14ac:dyDescent="0.25">
      <c r="A52" t="s">
        <v>118</v>
      </c>
      <c r="B52">
        <v>-76.361412999999999</v>
      </c>
      <c r="C52">
        <v>42.861387999999998</v>
      </c>
      <c r="D52">
        <v>5</v>
      </c>
      <c r="E52" t="s">
        <v>371</v>
      </c>
      <c r="F52" t="s">
        <v>359</v>
      </c>
      <c r="L52">
        <v>0</v>
      </c>
      <c r="M52">
        <v>0</v>
      </c>
      <c r="N52" t="s">
        <v>352</v>
      </c>
      <c r="O52" t="s">
        <v>356</v>
      </c>
      <c r="P52">
        <v>526</v>
      </c>
    </row>
    <row r="53" spans="1:16" x14ac:dyDescent="0.25">
      <c r="A53" t="s">
        <v>31</v>
      </c>
      <c r="B53">
        <v>-76.396331000000004</v>
      </c>
      <c r="C53">
        <v>42.860674000000003</v>
      </c>
      <c r="D53">
        <v>5</v>
      </c>
      <c r="E53" t="s">
        <v>371</v>
      </c>
      <c r="F53" t="s">
        <v>359</v>
      </c>
      <c r="G53">
        <v>16</v>
      </c>
      <c r="I53">
        <v>0</v>
      </c>
      <c r="L53">
        <v>0</v>
      </c>
      <c r="M53">
        <v>0</v>
      </c>
      <c r="N53" t="s">
        <v>352</v>
      </c>
      <c r="O53" t="s">
        <v>356</v>
      </c>
      <c r="P53">
        <v>186</v>
      </c>
    </row>
    <row r="54" spans="1:16" x14ac:dyDescent="0.25">
      <c r="A54" t="s">
        <v>119</v>
      </c>
      <c r="B54">
        <v>-76.361647000000005</v>
      </c>
      <c r="C54">
        <v>42.861142999999998</v>
      </c>
      <c r="D54">
        <v>8</v>
      </c>
      <c r="E54" t="s">
        <v>371</v>
      </c>
      <c r="F54" t="s">
        <v>359</v>
      </c>
      <c r="L54">
        <v>0</v>
      </c>
      <c r="M54">
        <v>0</v>
      </c>
      <c r="N54" t="s">
        <v>352</v>
      </c>
      <c r="O54" t="s">
        <v>356</v>
      </c>
      <c r="P54">
        <v>628</v>
      </c>
    </row>
    <row r="55" spans="1:16" x14ac:dyDescent="0.25">
      <c r="A55" t="s">
        <v>120</v>
      </c>
      <c r="B55">
        <v>-76.395853000000002</v>
      </c>
      <c r="C55">
        <v>42.861189000000003</v>
      </c>
      <c r="D55">
        <v>8</v>
      </c>
      <c r="E55" t="s">
        <v>371</v>
      </c>
      <c r="F55" t="s">
        <v>359</v>
      </c>
      <c r="L55">
        <v>90</v>
      </c>
      <c r="M55">
        <v>1</v>
      </c>
      <c r="N55" t="s">
        <v>352</v>
      </c>
      <c r="O55" t="s">
        <v>355</v>
      </c>
      <c r="P55">
        <v>792</v>
      </c>
    </row>
    <row r="56" spans="1:16" x14ac:dyDescent="0.25">
      <c r="A56" t="s">
        <v>121</v>
      </c>
      <c r="B56">
        <v>-76.361936</v>
      </c>
      <c r="C56">
        <v>42.861255999999997</v>
      </c>
      <c r="D56">
        <v>10</v>
      </c>
      <c r="E56" t="s">
        <v>371</v>
      </c>
      <c r="F56" t="s">
        <v>359</v>
      </c>
      <c r="L56">
        <v>300</v>
      </c>
      <c r="M56">
        <v>2</v>
      </c>
      <c r="N56" t="s">
        <v>352</v>
      </c>
      <c r="O56" t="s">
        <v>355</v>
      </c>
      <c r="P56">
        <v>597</v>
      </c>
    </row>
    <row r="57" spans="1:16" x14ac:dyDescent="0.25">
      <c r="A57" t="s">
        <v>243</v>
      </c>
      <c r="B57">
        <v>-76.394419999999997</v>
      </c>
      <c r="C57">
        <v>42.861381000000002</v>
      </c>
      <c r="D57">
        <v>11</v>
      </c>
      <c r="E57" t="s">
        <v>371</v>
      </c>
      <c r="F57" t="s">
        <v>359</v>
      </c>
      <c r="L57">
        <v>91</v>
      </c>
      <c r="M57">
        <v>1</v>
      </c>
      <c r="N57" t="s">
        <v>352</v>
      </c>
      <c r="O57" t="s">
        <v>355</v>
      </c>
      <c r="P57">
        <v>0</v>
      </c>
    </row>
    <row r="58" spans="1:16" x14ac:dyDescent="0.25">
      <c r="A58" t="s">
        <v>122</v>
      </c>
      <c r="B58">
        <v>-76.362143000000003</v>
      </c>
      <c r="C58">
        <v>42.861348</v>
      </c>
      <c r="D58">
        <v>13</v>
      </c>
      <c r="E58" t="s">
        <v>371</v>
      </c>
      <c r="F58" t="s">
        <v>359</v>
      </c>
      <c r="L58">
        <v>73</v>
      </c>
      <c r="M58">
        <v>1</v>
      </c>
      <c r="N58" t="s">
        <v>352</v>
      </c>
      <c r="O58" t="s">
        <v>355</v>
      </c>
      <c r="P58">
        <v>239</v>
      </c>
    </row>
    <row r="59" spans="1:16" x14ac:dyDescent="0.25">
      <c r="A59" t="s">
        <v>123</v>
      </c>
      <c r="B59">
        <v>-76.394076999999996</v>
      </c>
      <c r="C59">
        <v>42.861355000000003</v>
      </c>
      <c r="D59">
        <v>14</v>
      </c>
      <c r="E59" t="s">
        <v>371</v>
      </c>
      <c r="F59" t="s">
        <v>359</v>
      </c>
      <c r="L59">
        <v>38</v>
      </c>
      <c r="M59">
        <v>1</v>
      </c>
      <c r="N59" t="s">
        <v>352</v>
      </c>
      <c r="O59" t="s">
        <v>355</v>
      </c>
      <c r="P59">
        <v>194</v>
      </c>
    </row>
    <row r="60" spans="1:16" x14ac:dyDescent="0.25">
      <c r="A60" t="s">
        <v>124</v>
      </c>
      <c r="B60">
        <v>-76.362260000000006</v>
      </c>
      <c r="C60">
        <v>42.861367999999999</v>
      </c>
      <c r="D60">
        <v>17</v>
      </c>
      <c r="E60" t="s">
        <v>371</v>
      </c>
      <c r="F60" t="s">
        <v>359</v>
      </c>
      <c r="L60">
        <v>91</v>
      </c>
      <c r="M60">
        <v>0</v>
      </c>
      <c r="N60" t="s">
        <v>352</v>
      </c>
      <c r="O60" t="s">
        <v>355</v>
      </c>
      <c r="P60">
        <v>558</v>
      </c>
    </row>
    <row r="61" spans="1:16" x14ac:dyDescent="0.25">
      <c r="A61" t="s">
        <v>125</v>
      </c>
      <c r="B61">
        <v>-76.392347000000001</v>
      </c>
      <c r="C61">
        <v>42.861241999999997</v>
      </c>
      <c r="D61">
        <v>17</v>
      </c>
      <c r="E61" t="s">
        <v>371</v>
      </c>
      <c r="F61" t="s">
        <v>359</v>
      </c>
      <c r="L61">
        <v>299</v>
      </c>
      <c r="M61">
        <v>2</v>
      </c>
      <c r="N61" t="s">
        <v>352</v>
      </c>
      <c r="O61" t="s">
        <v>355</v>
      </c>
      <c r="P61">
        <v>48</v>
      </c>
    </row>
    <row r="62" spans="1:16" x14ac:dyDescent="0.25">
      <c r="A62" t="s">
        <v>126</v>
      </c>
      <c r="B62">
        <v>-76.391686945368605</v>
      </c>
      <c r="C62">
        <v>42.861189681781298</v>
      </c>
      <c r="D62">
        <v>20</v>
      </c>
      <c r="E62" t="s">
        <v>371</v>
      </c>
      <c r="F62" t="s">
        <v>359</v>
      </c>
      <c r="P62">
        <v>6</v>
      </c>
    </row>
    <row r="63" spans="1:16" x14ac:dyDescent="0.25">
      <c r="A63" t="s">
        <v>127</v>
      </c>
      <c r="B63">
        <v>-76.362403999999998</v>
      </c>
      <c r="C63">
        <v>42.861474000000001</v>
      </c>
      <c r="D63">
        <v>21</v>
      </c>
      <c r="E63" t="s">
        <v>371</v>
      </c>
      <c r="F63" t="s">
        <v>359</v>
      </c>
      <c r="L63">
        <v>384</v>
      </c>
      <c r="M63">
        <v>1</v>
      </c>
      <c r="N63" t="s">
        <v>352</v>
      </c>
      <c r="O63" t="s">
        <v>355</v>
      </c>
      <c r="P63">
        <v>729</v>
      </c>
    </row>
    <row r="64" spans="1:16" x14ac:dyDescent="0.25">
      <c r="A64" t="s">
        <v>128</v>
      </c>
      <c r="B64">
        <v>-76.362684000000002</v>
      </c>
      <c r="C64">
        <v>42.861790999999997</v>
      </c>
      <c r="D64">
        <v>22</v>
      </c>
      <c r="E64" t="s">
        <v>371</v>
      </c>
      <c r="F64" t="s">
        <v>359</v>
      </c>
      <c r="L64">
        <v>294</v>
      </c>
      <c r="M64">
        <v>0</v>
      </c>
      <c r="N64" t="s">
        <v>352</v>
      </c>
      <c r="O64" t="s">
        <v>355</v>
      </c>
      <c r="P64">
        <v>332</v>
      </c>
    </row>
    <row r="65" spans="1:16" x14ac:dyDescent="0.25">
      <c r="A65" t="s">
        <v>129</v>
      </c>
      <c r="B65">
        <v>-76.362684000000002</v>
      </c>
      <c r="C65">
        <v>42.861790999999997</v>
      </c>
      <c r="D65">
        <v>22</v>
      </c>
      <c r="E65" t="s">
        <v>371</v>
      </c>
      <c r="F65" t="s">
        <v>360</v>
      </c>
      <c r="P65">
        <v>212</v>
      </c>
    </row>
    <row r="66" spans="1:16" x14ac:dyDescent="0.25">
      <c r="A66" t="s">
        <v>130</v>
      </c>
      <c r="B66">
        <v>-76.391381999999993</v>
      </c>
      <c r="C66">
        <v>42.861215999999999</v>
      </c>
      <c r="D66">
        <v>22</v>
      </c>
      <c r="E66" t="s">
        <v>371</v>
      </c>
      <c r="F66" t="s">
        <v>359</v>
      </c>
      <c r="L66">
        <v>206</v>
      </c>
      <c r="M66">
        <v>2</v>
      </c>
      <c r="N66" t="s">
        <v>352</v>
      </c>
      <c r="O66" t="s">
        <v>355</v>
      </c>
      <c r="P66">
        <v>358</v>
      </c>
    </row>
    <row r="67" spans="1:16" x14ac:dyDescent="0.25">
      <c r="A67" t="s">
        <v>131</v>
      </c>
      <c r="B67">
        <v>-76.390788000000001</v>
      </c>
      <c r="C67">
        <v>42.861302000000002</v>
      </c>
      <c r="D67">
        <v>24</v>
      </c>
      <c r="E67" t="s">
        <v>371</v>
      </c>
      <c r="F67" t="s">
        <v>359</v>
      </c>
      <c r="L67">
        <v>178</v>
      </c>
      <c r="M67">
        <v>1</v>
      </c>
      <c r="N67" t="s">
        <v>352</v>
      </c>
      <c r="O67" t="s">
        <v>355</v>
      </c>
      <c r="P67">
        <v>102</v>
      </c>
    </row>
    <row r="68" spans="1:16" x14ac:dyDescent="0.25">
      <c r="A68" t="s">
        <v>132</v>
      </c>
      <c r="B68">
        <v>-76.362836999999999</v>
      </c>
      <c r="C68">
        <v>42.861255999999997</v>
      </c>
      <c r="D68">
        <v>31</v>
      </c>
      <c r="E68" t="s">
        <v>371</v>
      </c>
      <c r="F68" t="s">
        <v>359</v>
      </c>
      <c r="L68">
        <v>318</v>
      </c>
      <c r="M68">
        <v>2</v>
      </c>
      <c r="N68" t="s">
        <v>352</v>
      </c>
      <c r="O68" t="s">
        <v>355</v>
      </c>
      <c r="P68">
        <v>89</v>
      </c>
    </row>
    <row r="69" spans="1:16" x14ac:dyDescent="0.25">
      <c r="A69" t="s">
        <v>133</v>
      </c>
      <c r="B69">
        <v>-76.389706000000004</v>
      </c>
      <c r="C69">
        <v>42.861209000000002</v>
      </c>
      <c r="D69">
        <v>31</v>
      </c>
      <c r="E69" t="s">
        <v>371</v>
      </c>
      <c r="F69" t="s">
        <v>359</v>
      </c>
      <c r="L69">
        <v>149</v>
      </c>
      <c r="M69">
        <v>1</v>
      </c>
      <c r="N69" t="s">
        <v>352</v>
      </c>
      <c r="O69" t="s">
        <v>355</v>
      </c>
      <c r="P69">
        <v>101</v>
      </c>
    </row>
    <row r="70" spans="1:16" x14ac:dyDescent="0.25">
      <c r="A70" t="s">
        <v>134</v>
      </c>
      <c r="B70">
        <v>-76.363459000000006</v>
      </c>
      <c r="C70">
        <v>42.861282000000003</v>
      </c>
      <c r="D70">
        <v>38</v>
      </c>
      <c r="E70" t="s">
        <v>371</v>
      </c>
      <c r="F70" t="s">
        <v>359</v>
      </c>
      <c r="L70">
        <v>250</v>
      </c>
      <c r="M70">
        <v>2</v>
      </c>
      <c r="N70" t="s">
        <v>352</v>
      </c>
      <c r="O70" t="s">
        <v>355</v>
      </c>
      <c r="P70">
        <v>117</v>
      </c>
    </row>
    <row r="71" spans="1:16" x14ac:dyDescent="0.25">
      <c r="A71" t="s">
        <v>135</v>
      </c>
      <c r="B71">
        <v>-76.388642000000004</v>
      </c>
      <c r="C71">
        <v>42.861122999999999</v>
      </c>
      <c r="D71">
        <v>38</v>
      </c>
      <c r="E71" t="s">
        <v>371</v>
      </c>
      <c r="F71" t="s">
        <v>359</v>
      </c>
      <c r="L71">
        <v>155</v>
      </c>
      <c r="M71">
        <v>2</v>
      </c>
      <c r="N71" t="s">
        <v>352</v>
      </c>
      <c r="O71" t="s">
        <v>355</v>
      </c>
      <c r="P71">
        <v>102</v>
      </c>
    </row>
    <row r="72" spans="1:16" x14ac:dyDescent="0.25">
      <c r="A72" t="s">
        <v>136</v>
      </c>
      <c r="B72">
        <v>-76.389706000000004</v>
      </c>
      <c r="C72">
        <v>42.861209000000002</v>
      </c>
      <c r="D72">
        <v>38</v>
      </c>
      <c r="E72" t="s">
        <v>371</v>
      </c>
      <c r="F72" t="s">
        <v>360</v>
      </c>
      <c r="L72">
        <v>172</v>
      </c>
      <c r="M72">
        <v>2</v>
      </c>
      <c r="N72" t="s">
        <v>352</v>
      </c>
      <c r="O72" t="s">
        <v>355</v>
      </c>
      <c r="P72">
        <v>61</v>
      </c>
    </row>
    <row r="73" spans="1:16" x14ac:dyDescent="0.25">
      <c r="A73" t="s">
        <v>137</v>
      </c>
      <c r="B73">
        <v>-76.387677999999994</v>
      </c>
      <c r="C73">
        <v>42.861196</v>
      </c>
      <c r="D73">
        <v>43</v>
      </c>
      <c r="E73" t="s">
        <v>371</v>
      </c>
      <c r="F73" t="s">
        <v>359</v>
      </c>
      <c r="L73">
        <v>123</v>
      </c>
      <c r="M73">
        <v>2</v>
      </c>
      <c r="N73" t="s">
        <v>352</v>
      </c>
      <c r="O73" t="s">
        <v>355</v>
      </c>
      <c r="P73">
        <v>111</v>
      </c>
    </row>
    <row r="74" spans="1:16" x14ac:dyDescent="0.25">
      <c r="A74" t="s">
        <v>138</v>
      </c>
      <c r="B74">
        <v>-76.363928000000001</v>
      </c>
      <c r="C74">
        <v>42.861196</v>
      </c>
      <c r="D74">
        <v>46</v>
      </c>
      <c r="E74" t="s">
        <v>371</v>
      </c>
      <c r="F74" t="s">
        <v>359</v>
      </c>
      <c r="L74">
        <v>225</v>
      </c>
      <c r="M74">
        <v>2</v>
      </c>
      <c r="N74" t="s">
        <v>352</v>
      </c>
      <c r="O74" t="s">
        <v>355</v>
      </c>
      <c r="P74">
        <v>312</v>
      </c>
    </row>
    <row r="75" spans="1:16" x14ac:dyDescent="0.25">
      <c r="A75" t="s">
        <v>139</v>
      </c>
      <c r="B75">
        <v>-76.364478000000005</v>
      </c>
      <c r="C75">
        <v>42.861229000000002</v>
      </c>
      <c r="D75">
        <v>52</v>
      </c>
      <c r="E75" t="s">
        <v>371</v>
      </c>
      <c r="F75" t="s">
        <v>359</v>
      </c>
      <c r="L75">
        <v>161</v>
      </c>
      <c r="M75">
        <v>2</v>
      </c>
      <c r="N75" t="s">
        <v>352</v>
      </c>
      <c r="O75" t="s">
        <v>355</v>
      </c>
      <c r="P75">
        <v>97</v>
      </c>
    </row>
    <row r="76" spans="1:16" x14ac:dyDescent="0.25">
      <c r="A76" t="s">
        <v>140</v>
      </c>
      <c r="B76">
        <v>-76.387028999999998</v>
      </c>
      <c r="C76">
        <v>42.861274999999999</v>
      </c>
      <c r="D76">
        <v>52</v>
      </c>
      <c r="E76" t="s">
        <v>371</v>
      </c>
      <c r="F76" t="s">
        <v>359</v>
      </c>
      <c r="L76">
        <v>60</v>
      </c>
      <c r="M76">
        <v>2</v>
      </c>
      <c r="N76" t="s">
        <v>352</v>
      </c>
      <c r="O76" t="s">
        <v>355</v>
      </c>
      <c r="P76">
        <v>96</v>
      </c>
    </row>
    <row r="77" spans="1:16" x14ac:dyDescent="0.25">
      <c r="A77" t="s">
        <v>141</v>
      </c>
      <c r="B77">
        <v>-76.386930972115593</v>
      </c>
      <c r="C77">
        <v>42.8612825105307</v>
      </c>
      <c r="D77">
        <v>53</v>
      </c>
      <c r="E77" t="s">
        <v>371</v>
      </c>
      <c r="F77" t="s">
        <v>359</v>
      </c>
      <c r="P77">
        <v>97</v>
      </c>
    </row>
    <row r="78" spans="1:16" x14ac:dyDescent="0.25">
      <c r="A78" t="s">
        <v>142</v>
      </c>
      <c r="B78">
        <v>-76.364891999999998</v>
      </c>
      <c r="C78">
        <v>42.861109999999996</v>
      </c>
      <c r="D78">
        <v>58</v>
      </c>
      <c r="E78" t="s">
        <v>371</v>
      </c>
      <c r="F78" t="s">
        <v>359</v>
      </c>
      <c r="P78">
        <v>84</v>
      </c>
    </row>
    <row r="79" spans="1:16" x14ac:dyDescent="0.25">
      <c r="A79" t="s">
        <v>143</v>
      </c>
      <c r="B79">
        <v>-76.364891999999998</v>
      </c>
      <c r="C79">
        <v>42.861109999999996</v>
      </c>
      <c r="D79">
        <v>58</v>
      </c>
      <c r="E79" t="s">
        <v>371</v>
      </c>
      <c r="F79" t="s">
        <v>360</v>
      </c>
      <c r="P79">
        <v>84</v>
      </c>
    </row>
    <row r="80" spans="1:16" x14ac:dyDescent="0.25">
      <c r="A80" t="s">
        <v>144</v>
      </c>
      <c r="B80">
        <v>-76.386362000000005</v>
      </c>
      <c r="C80">
        <v>42.861499999999999</v>
      </c>
      <c r="D80">
        <v>60</v>
      </c>
      <c r="E80" t="s">
        <v>371</v>
      </c>
      <c r="F80" t="s">
        <v>359</v>
      </c>
      <c r="P80">
        <v>92</v>
      </c>
    </row>
    <row r="81" spans="1:16" x14ac:dyDescent="0.25">
      <c r="A81" t="s">
        <v>145</v>
      </c>
      <c r="B81">
        <v>-76.365226000000007</v>
      </c>
      <c r="C81">
        <v>42.861077000000002</v>
      </c>
      <c r="D81">
        <v>62</v>
      </c>
      <c r="E81" t="s">
        <v>371</v>
      </c>
      <c r="F81" t="s">
        <v>359</v>
      </c>
      <c r="P81">
        <v>27</v>
      </c>
    </row>
    <row r="82" spans="1:16" x14ac:dyDescent="0.25">
      <c r="A82" t="s">
        <v>146</v>
      </c>
      <c r="B82">
        <v>-76.385937999999996</v>
      </c>
      <c r="C82">
        <v>42.861426999999999</v>
      </c>
      <c r="D82">
        <v>65</v>
      </c>
      <c r="E82" t="s">
        <v>371</v>
      </c>
      <c r="F82" t="s">
        <v>359</v>
      </c>
      <c r="P82">
        <v>3</v>
      </c>
    </row>
    <row r="83" spans="1:16" x14ac:dyDescent="0.25">
      <c r="A83" t="s">
        <v>147</v>
      </c>
      <c r="B83">
        <v>-76.366180999999997</v>
      </c>
      <c r="C83">
        <v>42.861440999999999</v>
      </c>
      <c r="D83">
        <v>69</v>
      </c>
      <c r="E83" t="s">
        <v>371</v>
      </c>
      <c r="F83" t="s">
        <v>359</v>
      </c>
      <c r="P83">
        <v>36</v>
      </c>
    </row>
    <row r="84" spans="1:16" x14ac:dyDescent="0.25">
      <c r="A84" t="s">
        <v>246</v>
      </c>
      <c r="B84">
        <v>-76.385028000000005</v>
      </c>
      <c r="C84">
        <v>42.861592000000002</v>
      </c>
      <c r="D84">
        <v>70</v>
      </c>
      <c r="E84" t="s">
        <v>371</v>
      </c>
      <c r="F84" t="s">
        <v>359</v>
      </c>
      <c r="P84">
        <v>0</v>
      </c>
    </row>
    <row r="85" spans="1:16" x14ac:dyDescent="0.25">
      <c r="A85" t="s">
        <v>148</v>
      </c>
      <c r="B85">
        <v>-76.366172000000006</v>
      </c>
      <c r="C85">
        <v>42.861162999999998</v>
      </c>
      <c r="D85">
        <v>71</v>
      </c>
      <c r="E85" t="s">
        <v>371</v>
      </c>
      <c r="F85" t="s">
        <v>359</v>
      </c>
      <c r="P85">
        <v>44</v>
      </c>
    </row>
    <row r="86" spans="1:16" x14ac:dyDescent="0.25">
      <c r="A86" t="s">
        <v>149</v>
      </c>
      <c r="B86">
        <v>-76.375022999999999</v>
      </c>
      <c r="C86">
        <v>42.861203000000003</v>
      </c>
      <c r="D86">
        <v>75</v>
      </c>
      <c r="E86" t="s">
        <v>371</v>
      </c>
      <c r="F86" t="s">
        <v>359</v>
      </c>
      <c r="P86">
        <v>22</v>
      </c>
    </row>
    <row r="87" spans="1:16" x14ac:dyDescent="0.25">
      <c r="A87" t="s">
        <v>150</v>
      </c>
      <c r="B87">
        <v>-76.371301000000003</v>
      </c>
      <c r="C87">
        <v>42.861203000000003</v>
      </c>
      <c r="D87">
        <v>77</v>
      </c>
      <c r="E87" t="s">
        <v>371</v>
      </c>
      <c r="F87" t="s">
        <v>359</v>
      </c>
      <c r="P87">
        <v>13</v>
      </c>
    </row>
    <row r="88" spans="1:16" x14ac:dyDescent="0.25">
      <c r="A88" t="s">
        <v>151</v>
      </c>
      <c r="B88">
        <v>-76.370633999999995</v>
      </c>
      <c r="C88">
        <v>42.861269</v>
      </c>
      <c r="D88">
        <v>77</v>
      </c>
      <c r="E88" t="s">
        <v>371</v>
      </c>
      <c r="F88" t="s">
        <v>360</v>
      </c>
      <c r="P88">
        <v>1</v>
      </c>
    </row>
    <row r="89" spans="1:16" x14ac:dyDescent="0.25">
      <c r="A89" t="s">
        <v>152</v>
      </c>
      <c r="B89">
        <v>-76.378979999999999</v>
      </c>
      <c r="C89">
        <v>42.861288999999999</v>
      </c>
      <c r="D89">
        <v>79</v>
      </c>
      <c r="E89" t="s">
        <v>371</v>
      </c>
      <c r="F89" t="s">
        <v>359</v>
      </c>
      <c r="P89">
        <v>19</v>
      </c>
    </row>
    <row r="90" spans="1:16" x14ac:dyDescent="0.25">
      <c r="A90" t="s">
        <v>153</v>
      </c>
      <c r="B90">
        <v>-76.377726999999993</v>
      </c>
      <c r="C90">
        <v>42.861241999999997</v>
      </c>
      <c r="D90">
        <v>80</v>
      </c>
      <c r="E90" t="s">
        <v>371</v>
      </c>
      <c r="F90" t="s">
        <v>359</v>
      </c>
      <c r="P90">
        <v>12</v>
      </c>
    </row>
    <row r="91" spans="1:16" x14ac:dyDescent="0.25">
      <c r="A91" t="s">
        <v>33</v>
      </c>
      <c r="B91">
        <v>-76.346513999999999</v>
      </c>
      <c r="C91">
        <v>42.833222999999997</v>
      </c>
      <c r="D91">
        <v>1</v>
      </c>
      <c r="E91" t="s">
        <v>362</v>
      </c>
      <c r="F91" t="s">
        <v>359</v>
      </c>
      <c r="G91">
        <v>401</v>
      </c>
      <c r="H91">
        <v>98</v>
      </c>
      <c r="I91">
        <v>1</v>
      </c>
      <c r="J91" t="s">
        <v>357</v>
      </c>
      <c r="K91" t="s">
        <v>355</v>
      </c>
      <c r="P91">
        <v>6</v>
      </c>
    </row>
    <row r="92" spans="1:16" x14ac:dyDescent="0.25">
      <c r="A92" t="s">
        <v>34</v>
      </c>
      <c r="B92">
        <v>-76.327081000000007</v>
      </c>
      <c r="C92">
        <v>42.834552000000002</v>
      </c>
      <c r="D92">
        <v>2</v>
      </c>
      <c r="E92" t="s">
        <v>362</v>
      </c>
      <c r="F92" t="s">
        <v>359</v>
      </c>
      <c r="G92">
        <v>164</v>
      </c>
      <c r="H92">
        <v>31</v>
      </c>
      <c r="I92">
        <v>0</v>
      </c>
      <c r="J92" t="s">
        <v>352</v>
      </c>
      <c r="K92" t="s">
        <v>356</v>
      </c>
      <c r="P92">
        <v>13</v>
      </c>
    </row>
    <row r="93" spans="1:16" x14ac:dyDescent="0.25">
      <c r="A93" t="s">
        <v>35</v>
      </c>
      <c r="B93">
        <v>-76.327117000000001</v>
      </c>
      <c r="C93">
        <v>42.834400000000002</v>
      </c>
      <c r="D93">
        <v>3</v>
      </c>
      <c r="E93" t="s">
        <v>362</v>
      </c>
      <c r="F93" t="s">
        <v>359</v>
      </c>
      <c r="G93">
        <v>92</v>
      </c>
      <c r="H93">
        <v>22</v>
      </c>
      <c r="I93">
        <v>0</v>
      </c>
      <c r="J93" t="s">
        <v>352</v>
      </c>
      <c r="K93" t="s">
        <v>354</v>
      </c>
      <c r="P93">
        <v>34</v>
      </c>
    </row>
    <row r="94" spans="1:16" x14ac:dyDescent="0.25">
      <c r="A94" t="s">
        <v>36</v>
      </c>
      <c r="B94">
        <v>-76.346324999999993</v>
      </c>
      <c r="C94">
        <v>42.833342000000002</v>
      </c>
      <c r="D94">
        <v>3</v>
      </c>
      <c r="E94" t="s">
        <v>362</v>
      </c>
      <c r="F94" t="s">
        <v>359</v>
      </c>
      <c r="G94">
        <v>161</v>
      </c>
      <c r="H94">
        <v>0</v>
      </c>
      <c r="I94">
        <v>0</v>
      </c>
      <c r="J94" t="s">
        <v>352</v>
      </c>
      <c r="K94" t="s">
        <v>356</v>
      </c>
      <c r="P94">
        <v>74</v>
      </c>
    </row>
    <row r="95" spans="1:16" x14ac:dyDescent="0.25">
      <c r="A95" t="s">
        <v>37</v>
      </c>
      <c r="B95">
        <v>-76.327423999999993</v>
      </c>
      <c r="C95">
        <v>42.834266999999997</v>
      </c>
      <c r="D95">
        <v>5</v>
      </c>
      <c r="E95" t="s">
        <v>362</v>
      </c>
      <c r="F95" t="s">
        <v>359</v>
      </c>
      <c r="G95">
        <v>727</v>
      </c>
      <c r="H95">
        <v>258</v>
      </c>
      <c r="I95">
        <v>1</v>
      </c>
      <c r="J95" t="s">
        <v>352</v>
      </c>
      <c r="K95" t="s">
        <v>354</v>
      </c>
      <c r="P95">
        <v>586</v>
      </c>
    </row>
    <row r="96" spans="1:16" x14ac:dyDescent="0.25">
      <c r="A96" t="s">
        <v>38</v>
      </c>
      <c r="B96">
        <v>-76.346406000000002</v>
      </c>
      <c r="C96">
        <v>42.833480999999999</v>
      </c>
      <c r="D96">
        <v>5</v>
      </c>
      <c r="E96" t="s">
        <v>362</v>
      </c>
      <c r="F96" t="s">
        <v>359</v>
      </c>
      <c r="G96">
        <v>177</v>
      </c>
      <c r="H96">
        <v>137</v>
      </c>
      <c r="I96">
        <v>0</v>
      </c>
      <c r="J96" t="s">
        <v>352</v>
      </c>
      <c r="K96" t="s">
        <v>354</v>
      </c>
      <c r="P96">
        <v>106</v>
      </c>
    </row>
    <row r="97" spans="1:16" x14ac:dyDescent="0.25">
      <c r="A97" t="s">
        <v>39</v>
      </c>
      <c r="B97">
        <v>-76.327460000000002</v>
      </c>
      <c r="C97">
        <v>42.834234000000002</v>
      </c>
      <c r="D97">
        <v>8</v>
      </c>
      <c r="E97" t="s">
        <v>362</v>
      </c>
      <c r="F97" t="s">
        <v>359</v>
      </c>
      <c r="G97">
        <v>1004</v>
      </c>
      <c r="H97">
        <v>619</v>
      </c>
      <c r="I97">
        <v>2</v>
      </c>
      <c r="J97" t="s">
        <v>352</v>
      </c>
      <c r="K97" t="s">
        <v>355</v>
      </c>
      <c r="P97">
        <v>489</v>
      </c>
    </row>
    <row r="98" spans="1:16" x14ac:dyDescent="0.25">
      <c r="A98" t="s">
        <v>40</v>
      </c>
      <c r="B98">
        <v>-76.346215999999998</v>
      </c>
      <c r="C98">
        <v>42.833553000000002</v>
      </c>
      <c r="D98">
        <v>8</v>
      </c>
      <c r="E98" t="s">
        <v>362</v>
      </c>
      <c r="F98" t="s">
        <v>359</v>
      </c>
      <c r="G98">
        <v>259</v>
      </c>
      <c r="H98">
        <v>0</v>
      </c>
      <c r="I98">
        <v>0</v>
      </c>
      <c r="J98" t="s">
        <v>352</v>
      </c>
      <c r="K98" t="s">
        <v>356</v>
      </c>
      <c r="P98">
        <v>218</v>
      </c>
    </row>
    <row r="99" spans="1:16" x14ac:dyDescent="0.25">
      <c r="A99" t="s">
        <v>41</v>
      </c>
      <c r="B99">
        <v>-76.327577000000005</v>
      </c>
      <c r="C99">
        <v>42.834254000000001</v>
      </c>
      <c r="D99">
        <v>11</v>
      </c>
      <c r="E99" t="s">
        <v>362</v>
      </c>
      <c r="F99" t="s">
        <v>359</v>
      </c>
      <c r="G99">
        <v>1026</v>
      </c>
      <c r="H99">
        <v>483</v>
      </c>
      <c r="I99">
        <v>2</v>
      </c>
      <c r="J99" t="s">
        <v>352</v>
      </c>
      <c r="K99" t="s">
        <v>355</v>
      </c>
      <c r="P99">
        <v>401</v>
      </c>
    </row>
    <row r="100" spans="1:16" x14ac:dyDescent="0.25">
      <c r="A100" t="s">
        <v>42</v>
      </c>
      <c r="B100">
        <v>-76.346108000000001</v>
      </c>
      <c r="C100">
        <v>42.833632999999999</v>
      </c>
      <c r="D100">
        <v>11</v>
      </c>
      <c r="E100" t="s">
        <v>362</v>
      </c>
      <c r="F100" t="s">
        <v>359</v>
      </c>
      <c r="G100">
        <v>591</v>
      </c>
      <c r="H100">
        <v>385</v>
      </c>
      <c r="I100">
        <v>2</v>
      </c>
      <c r="J100" t="s">
        <v>352</v>
      </c>
      <c r="K100" t="s">
        <v>355</v>
      </c>
      <c r="P100">
        <v>241</v>
      </c>
    </row>
    <row r="101" spans="1:16" x14ac:dyDescent="0.25">
      <c r="A101" t="s">
        <v>43</v>
      </c>
      <c r="B101">
        <v>-76.327630999999997</v>
      </c>
      <c r="C101">
        <v>42.834147999999999</v>
      </c>
      <c r="D101">
        <v>14</v>
      </c>
      <c r="E101" t="s">
        <v>362</v>
      </c>
      <c r="F101" t="s">
        <v>359</v>
      </c>
      <c r="G101">
        <v>602</v>
      </c>
      <c r="H101">
        <v>427</v>
      </c>
      <c r="I101">
        <v>2</v>
      </c>
      <c r="J101" t="s">
        <v>352</v>
      </c>
      <c r="K101" t="s">
        <v>355</v>
      </c>
      <c r="P101">
        <v>377</v>
      </c>
    </row>
    <row r="102" spans="1:16" x14ac:dyDescent="0.25">
      <c r="A102" t="s">
        <v>44</v>
      </c>
      <c r="B102">
        <v>-76.346198000000001</v>
      </c>
      <c r="C102">
        <v>42.833731999999998</v>
      </c>
      <c r="D102">
        <v>14</v>
      </c>
      <c r="E102" t="s">
        <v>362</v>
      </c>
      <c r="F102" t="s">
        <v>359</v>
      </c>
      <c r="G102">
        <v>390</v>
      </c>
      <c r="H102">
        <v>296</v>
      </c>
      <c r="I102">
        <v>1</v>
      </c>
      <c r="J102" t="s">
        <v>352</v>
      </c>
      <c r="K102" t="s">
        <v>355</v>
      </c>
      <c r="L102">
        <v>150</v>
      </c>
      <c r="M102">
        <v>0</v>
      </c>
      <c r="N102" t="s">
        <v>352</v>
      </c>
      <c r="O102" t="s">
        <v>355</v>
      </c>
      <c r="P102">
        <v>233</v>
      </c>
    </row>
    <row r="103" spans="1:16" x14ac:dyDescent="0.25">
      <c r="A103" t="s">
        <v>45</v>
      </c>
      <c r="B103">
        <v>-76.327675999999997</v>
      </c>
      <c r="C103">
        <v>42.834076000000003</v>
      </c>
      <c r="D103">
        <v>17</v>
      </c>
      <c r="E103" t="s">
        <v>362</v>
      </c>
      <c r="F103" t="s">
        <v>359</v>
      </c>
      <c r="G103">
        <v>1066</v>
      </c>
      <c r="H103">
        <v>507</v>
      </c>
      <c r="I103">
        <v>1</v>
      </c>
      <c r="J103" t="s">
        <v>352</v>
      </c>
      <c r="K103" t="s">
        <v>355</v>
      </c>
      <c r="P103">
        <v>69</v>
      </c>
    </row>
    <row r="104" spans="1:16" x14ac:dyDescent="0.25">
      <c r="A104" t="s">
        <v>46</v>
      </c>
      <c r="B104">
        <v>-76.346090000000004</v>
      </c>
      <c r="C104">
        <v>42.833731999999998</v>
      </c>
      <c r="D104">
        <v>17</v>
      </c>
      <c r="E104" t="s">
        <v>362</v>
      </c>
      <c r="F104" t="s">
        <v>359</v>
      </c>
      <c r="G104">
        <v>483</v>
      </c>
      <c r="H104">
        <v>359</v>
      </c>
      <c r="I104">
        <v>1</v>
      </c>
      <c r="J104" t="s">
        <v>352</v>
      </c>
      <c r="K104" t="s">
        <v>355</v>
      </c>
      <c r="P104">
        <v>178</v>
      </c>
    </row>
    <row r="105" spans="1:16" x14ac:dyDescent="0.25">
      <c r="A105" t="s">
        <v>154</v>
      </c>
      <c r="B105">
        <v>-76.327757000000005</v>
      </c>
      <c r="C105">
        <v>42.833739000000001</v>
      </c>
      <c r="D105">
        <v>24</v>
      </c>
      <c r="E105" t="s">
        <v>362</v>
      </c>
      <c r="F105" t="s">
        <v>359</v>
      </c>
      <c r="L105">
        <v>85</v>
      </c>
      <c r="M105">
        <v>2</v>
      </c>
      <c r="N105" t="s">
        <v>352</v>
      </c>
      <c r="O105" t="s">
        <v>355</v>
      </c>
      <c r="P105">
        <v>246</v>
      </c>
    </row>
    <row r="106" spans="1:16" x14ac:dyDescent="0.25">
      <c r="A106" t="s">
        <v>155</v>
      </c>
      <c r="B106">
        <v>-76.345883000000001</v>
      </c>
      <c r="C106">
        <v>42.834029000000001</v>
      </c>
      <c r="D106">
        <v>24</v>
      </c>
      <c r="E106" t="s">
        <v>362</v>
      </c>
      <c r="F106" t="s">
        <v>359</v>
      </c>
      <c r="L106">
        <v>169</v>
      </c>
      <c r="M106">
        <v>2</v>
      </c>
      <c r="N106" t="s">
        <v>352</v>
      </c>
      <c r="O106" t="s">
        <v>355</v>
      </c>
      <c r="P106">
        <v>290</v>
      </c>
    </row>
    <row r="107" spans="1:16" x14ac:dyDescent="0.25">
      <c r="A107" t="s">
        <v>156</v>
      </c>
      <c r="B107">
        <v>-76.327793</v>
      </c>
      <c r="C107">
        <v>42.833593</v>
      </c>
      <c r="D107">
        <v>31</v>
      </c>
      <c r="E107" t="s">
        <v>362</v>
      </c>
      <c r="F107" t="s">
        <v>359</v>
      </c>
      <c r="L107">
        <v>332</v>
      </c>
      <c r="M107">
        <v>1</v>
      </c>
      <c r="N107" t="s">
        <v>352</v>
      </c>
      <c r="O107" t="s">
        <v>355</v>
      </c>
      <c r="P107">
        <v>206</v>
      </c>
    </row>
    <row r="108" spans="1:16" x14ac:dyDescent="0.25">
      <c r="A108" t="s">
        <v>157</v>
      </c>
      <c r="B108">
        <v>-76.345828999999995</v>
      </c>
      <c r="C108">
        <v>42.834248000000002</v>
      </c>
      <c r="D108">
        <v>31</v>
      </c>
      <c r="E108" t="s">
        <v>362</v>
      </c>
      <c r="F108" t="s">
        <v>359</v>
      </c>
      <c r="L108">
        <v>86</v>
      </c>
      <c r="M108">
        <v>2</v>
      </c>
      <c r="N108" t="s">
        <v>352</v>
      </c>
      <c r="O108" t="s">
        <v>355</v>
      </c>
      <c r="P108">
        <v>108</v>
      </c>
    </row>
    <row r="109" spans="1:16" x14ac:dyDescent="0.25">
      <c r="A109" t="s">
        <v>158</v>
      </c>
      <c r="B109">
        <v>-76.327748</v>
      </c>
      <c r="C109">
        <v>42.833316000000003</v>
      </c>
      <c r="D109">
        <v>40</v>
      </c>
      <c r="E109" t="s">
        <v>362</v>
      </c>
      <c r="F109" t="s">
        <v>359</v>
      </c>
      <c r="L109">
        <v>429</v>
      </c>
      <c r="M109">
        <v>2</v>
      </c>
      <c r="N109" t="s">
        <v>352</v>
      </c>
      <c r="O109" t="s">
        <v>355</v>
      </c>
      <c r="P109">
        <v>333</v>
      </c>
    </row>
    <row r="110" spans="1:16" x14ac:dyDescent="0.25">
      <c r="A110" t="s">
        <v>245</v>
      </c>
      <c r="B110">
        <v>-76.345820000000003</v>
      </c>
      <c r="C110">
        <v>42.834347000000001</v>
      </c>
      <c r="D110">
        <v>40</v>
      </c>
      <c r="E110" t="s">
        <v>362</v>
      </c>
      <c r="F110" t="s">
        <v>359</v>
      </c>
      <c r="L110">
        <v>292</v>
      </c>
      <c r="M110">
        <v>2</v>
      </c>
      <c r="N110" t="s">
        <v>352</v>
      </c>
      <c r="O110" t="s">
        <v>355</v>
      </c>
      <c r="P110">
        <v>0</v>
      </c>
    </row>
    <row r="111" spans="1:16" x14ac:dyDescent="0.25">
      <c r="A111" t="s">
        <v>159</v>
      </c>
      <c r="B111">
        <v>-76.327577000000005</v>
      </c>
      <c r="C111">
        <v>42.833117000000001</v>
      </c>
      <c r="D111">
        <v>45</v>
      </c>
      <c r="E111" t="s">
        <v>362</v>
      </c>
      <c r="F111" t="s">
        <v>359</v>
      </c>
      <c r="L111">
        <v>254</v>
      </c>
      <c r="M111">
        <v>1</v>
      </c>
      <c r="N111" t="s">
        <v>352</v>
      </c>
      <c r="O111" t="s">
        <v>355</v>
      </c>
      <c r="P111">
        <v>91</v>
      </c>
    </row>
    <row r="112" spans="1:16" x14ac:dyDescent="0.25">
      <c r="A112" t="s">
        <v>160</v>
      </c>
      <c r="B112">
        <v>-76.345738999999995</v>
      </c>
      <c r="C112">
        <v>42.834465999999999</v>
      </c>
      <c r="D112">
        <v>45</v>
      </c>
      <c r="E112" t="s">
        <v>362</v>
      </c>
      <c r="F112" t="s">
        <v>359</v>
      </c>
      <c r="L112">
        <v>60</v>
      </c>
      <c r="M112">
        <v>2</v>
      </c>
      <c r="N112" t="s">
        <v>352</v>
      </c>
      <c r="O112" t="s">
        <v>355</v>
      </c>
      <c r="P112">
        <v>3</v>
      </c>
    </row>
    <row r="113" spans="1:16" x14ac:dyDescent="0.25">
      <c r="A113" t="s">
        <v>161</v>
      </c>
      <c r="B113">
        <v>-76.327667000000005</v>
      </c>
      <c r="C113">
        <v>42.833018000000003</v>
      </c>
      <c r="D113">
        <v>52</v>
      </c>
      <c r="E113" t="s">
        <v>362</v>
      </c>
      <c r="F113" t="s">
        <v>359</v>
      </c>
      <c r="L113">
        <v>140</v>
      </c>
      <c r="M113">
        <v>1</v>
      </c>
      <c r="N113" t="s">
        <v>352</v>
      </c>
      <c r="O113" t="s">
        <v>355</v>
      </c>
      <c r="P113">
        <v>134</v>
      </c>
    </row>
    <row r="114" spans="1:16" x14ac:dyDescent="0.25">
      <c r="A114" t="s">
        <v>162</v>
      </c>
      <c r="B114">
        <v>-76.345568</v>
      </c>
      <c r="C114">
        <v>42.834631000000002</v>
      </c>
      <c r="D114">
        <v>54</v>
      </c>
      <c r="E114" t="s">
        <v>362</v>
      </c>
      <c r="F114" t="s">
        <v>359</v>
      </c>
      <c r="L114">
        <v>144</v>
      </c>
      <c r="M114">
        <v>2</v>
      </c>
      <c r="N114" t="s">
        <v>352</v>
      </c>
      <c r="O114" t="s">
        <v>355</v>
      </c>
      <c r="P114">
        <v>28</v>
      </c>
    </row>
    <row r="115" spans="1:16" x14ac:dyDescent="0.25">
      <c r="A115" t="s">
        <v>163</v>
      </c>
      <c r="B115">
        <v>-76.327703</v>
      </c>
      <c r="C115">
        <v>42.832912</v>
      </c>
      <c r="D115">
        <v>55</v>
      </c>
      <c r="E115" t="s">
        <v>362</v>
      </c>
      <c r="F115" t="s">
        <v>359</v>
      </c>
      <c r="P115">
        <v>43</v>
      </c>
    </row>
    <row r="116" spans="1:16" x14ac:dyDescent="0.25">
      <c r="A116" t="s">
        <v>164</v>
      </c>
      <c r="B116">
        <v>-76.329965000000001</v>
      </c>
      <c r="C116">
        <v>42.834690000000002</v>
      </c>
      <c r="D116">
        <v>61</v>
      </c>
      <c r="E116" t="s">
        <v>362</v>
      </c>
      <c r="F116" t="s">
        <v>359</v>
      </c>
      <c r="P116">
        <v>825</v>
      </c>
    </row>
    <row r="117" spans="1:16" x14ac:dyDescent="0.25">
      <c r="A117" t="s">
        <v>165</v>
      </c>
      <c r="B117">
        <v>-76.329965000000001</v>
      </c>
      <c r="C117">
        <v>42.834690000000002</v>
      </c>
      <c r="D117">
        <v>61</v>
      </c>
      <c r="E117" t="s">
        <v>362</v>
      </c>
      <c r="F117" t="s">
        <v>360</v>
      </c>
      <c r="P117">
        <v>74</v>
      </c>
    </row>
    <row r="118" spans="1:16" x14ac:dyDescent="0.25">
      <c r="A118" t="s">
        <v>166</v>
      </c>
      <c r="B118">
        <v>-76.345125999999993</v>
      </c>
      <c r="C118">
        <v>42.834552000000002</v>
      </c>
      <c r="D118">
        <v>61</v>
      </c>
      <c r="E118" t="s">
        <v>362</v>
      </c>
      <c r="F118" t="s">
        <v>359</v>
      </c>
      <c r="P118">
        <v>71</v>
      </c>
    </row>
    <row r="119" spans="1:16" x14ac:dyDescent="0.25">
      <c r="A119" t="s">
        <v>167</v>
      </c>
      <c r="B119">
        <v>-76.330443000000002</v>
      </c>
      <c r="C119">
        <v>42.834743000000003</v>
      </c>
      <c r="D119">
        <v>70</v>
      </c>
      <c r="E119" t="s">
        <v>362</v>
      </c>
      <c r="F119" t="s">
        <v>359</v>
      </c>
      <c r="P119">
        <v>283</v>
      </c>
    </row>
    <row r="120" spans="1:16" x14ac:dyDescent="0.25">
      <c r="A120" t="s">
        <v>168</v>
      </c>
      <c r="B120">
        <v>-76.344531000000003</v>
      </c>
      <c r="C120">
        <v>42.834690000000002</v>
      </c>
      <c r="D120">
        <v>76</v>
      </c>
      <c r="E120" t="s">
        <v>362</v>
      </c>
      <c r="F120" t="s">
        <v>359</v>
      </c>
      <c r="P120">
        <v>104</v>
      </c>
    </row>
    <row r="121" spans="1:16" x14ac:dyDescent="0.25">
      <c r="A121" t="s">
        <v>169</v>
      </c>
      <c r="B121">
        <v>-76.342611000000005</v>
      </c>
      <c r="C121">
        <v>42.834775999999998</v>
      </c>
      <c r="D121">
        <v>82</v>
      </c>
      <c r="E121" t="s">
        <v>362</v>
      </c>
      <c r="F121" t="s">
        <v>359</v>
      </c>
      <c r="P121">
        <v>69</v>
      </c>
    </row>
    <row r="122" spans="1:16" x14ac:dyDescent="0.25">
      <c r="A122" t="s">
        <v>170</v>
      </c>
      <c r="B122">
        <v>-76.336535999999995</v>
      </c>
      <c r="C122">
        <v>42.834591000000003</v>
      </c>
      <c r="D122">
        <v>84</v>
      </c>
      <c r="E122" t="s">
        <v>362</v>
      </c>
      <c r="F122" t="s">
        <v>359</v>
      </c>
      <c r="P122">
        <v>14</v>
      </c>
    </row>
    <row r="123" spans="1:16" x14ac:dyDescent="0.25">
      <c r="A123" t="s">
        <v>171</v>
      </c>
      <c r="B123">
        <v>-76.309956</v>
      </c>
      <c r="C123">
        <v>42.808920000000001</v>
      </c>
      <c r="D123">
        <v>1</v>
      </c>
      <c r="E123" t="s">
        <v>363</v>
      </c>
      <c r="F123" t="s">
        <v>359</v>
      </c>
      <c r="L123">
        <v>73</v>
      </c>
      <c r="M123">
        <v>1</v>
      </c>
      <c r="N123" t="s">
        <v>357</v>
      </c>
      <c r="O123" t="s">
        <v>355</v>
      </c>
      <c r="P123">
        <v>67</v>
      </c>
    </row>
    <row r="124" spans="1:16" x14ac:dyDescent="0.25">
      <c r="A124" t="s">
        <v>47</v>
      </c>
      <c r="B124">
        <v>-76.302087</v>
      </c>
      <c r="C124">
        <v>42.810057499999999</v>
      </c>
      <c r="D124">
        <v>2</v>
      </c>
      <c r="E124" t="s">
        <v>363</v>
      </c>
      <c r="F124" t="s">
        <v>359</v>
      </c>
      <c r="G124">
        <v>213</v>
      </c>
      <c r="H124">
        <v>0</v>
      </c>
      <c r="I124">
        <v>0</v>
      </c>
      <c r="J124" t="s">
        <v>352</v>
      </c>
      <c r="K124" t="s">
        <v>356</v>
      </c>
      <c r="P124">
        <v>58</v>
      </c>
    </row>
    <row r="125" spans="1:16" x14ac:dyDescent="0.25">
      <c r="A125" t="s">
        <v>49</v>
      </c>
      <c r="B125">
        <v>-76.294272000000007</v>
      </c>
      <c r="C125">
        <v>42.811194999999998</v>
      </c>
      <c r="D125">
        <v>3</v>
      </c>
      <c r="E125" t="s">
        <v>363</v>
      </c>
      <c r="F125" t="s">
        <v>359</v>
      </c>
      <c r="G125">
        <v>153</v>
      </c>
      <c r="H125">
        <v>48</v>
      </c>
      <c r="I125">
        <v>0</v>
      </c>
      <c r="J125" t="s">
        <v>352</v>
      </c>
      <c r="K125" t="s">
        <v>356</v>
      </c>
      <c r="P125">
        <v>57</v>
      </c>
    </row>
    <row r="126" spans="1:16" x14ac:dyDescent="0.25">
      <c r="A126" t="s">
        <v>50</v>
      </c>
      <c r="B126">
        <v>-76.309730500000001</v>
      </c>
      <c r="C126">
        <v>42.808940499999999</v>
      </c>
      <c r="D126">
        <v>3</v>
      </c>
      <c r="E126" t="s">
        <v>363</v>
      </c>
      <c r="F126" t="s">
        <v>359</v>
      </c>
      <c r="G126">
        <v>34</v>
      </c>
      <c r="H126">
        <v>61</v>
      </c>
      <c r="I126">
        <v>0</v>
      </c>
      <c r="J126" t="s">
        <v>352</v>
      </c>
      <c r="K126" t="s">
        <v>353</v>
      </c>
      <c r="L126">
        <v>0</v>
      </c>
      <c r="M126">
        <v>0</v>
      </c>
      <c r="N126" t="s">
        <v>352</v>
      </c>
      <c r="O126" t="s">
        <v>356</v>
      </c>
      <c r="P126">
        <v>115</v>
      </c>
    </row>
    <row r="127" spans="1:16" x14ac:dyDescent="0.25">
      <c r="A127" t="s">
        <v>51</v>
      </c>
      <c r="B127">
        <v>-76.294408000000004</v>
      </c>
      <c r="C127">
        <v>42.811129000000001</v>
      </c>
      <c r="D127">
        <v>5</v>
      </c>
      <c r="E127" t="s">
        <v>363</v>
      </c>
      <c r="F127" t="s">
        <v>359</v>
      </c>
      <c r="G127">
        <v>40</v>
      </c>
      <c r="H127">
        <v>6</v>
      </c>
      <c r="I127">
        <v>0</v>
      </c>
      <c r="J127" t="s">
        <v>352</v>
      </c>
      <c r="K127" t="s">
        <v>353</v>
      </c>
      <c r="P127">
        <v>145</v>
      </c>
    </row>
    <row r="128" spans="1:16" x14ac:dyDescent="0.25">
      <c r="A128" t="s">
        <v>52</v>
      </c>
      <c r="B128">
        <v>-76.309663999999998</v>
      </c>
      <c r="C128">
        <v>42.809136333333299</v>
      </c>
      <c r="D128">
        <v>5</v>
      </c>
      <c r="E128" t="s">
        <v>363</v>
      </c>
      <c r="F128" t="s">
        <v>359</v>
      </c>
      <c r="G128">
        <v>341</v>
      </c>
      <c r="H128">
        <v>331</v>
      </c>
      <c r="I128">
        <v>2</v>
      </c>
      <c r="J128" t="s">
        <v>352</v>
      </c>
      <c r="K128" t="s">
        <v>355</v>
      </c>
      <c r="L128">
        <v>0</v>
      </c>
      <c r="M128">
        <v>0</v>
      </c>
      <c r="N128" t="s">
        <v>352</v>
      </c>
      <c r="O128" t="s">
        <v>356</v>
      </c>
      <c r="P128">
        <v>55</v>
      </c>
    </row>
    <row r="129" spans="1:16" x14ac:dyDescent="0.25">
      <c r="A129" t="s">
        <v>53</v>
      </c>
      <c r="B129">
        <v>-76.294479999999993</v>
      </c>
      <c r="C129">
        <v>42.811017</v>
      </c>
      <c r="D129">
        <v>8</v>
      </c>
      <c r="E129" t="s">
        <v>363</v>
      </c>
      <c r="F129" t="s">
        <v>359</v>
      </c>
      <c r="G129">
        <v>151</v>
      </c>
      <c r="H129">
        <v>55</v>
      </c>
      <c r="I129">
        <v>0</v>
      </c>
      <c r="J129" t="s">
        <v>352</v>
      </c>
      <c r="K129" t="s">
        <v>353</v>
      </c>
      <c r="L129">
        <v>93</v>
      </c>
      <c r="M129">
        <v>0</v>
      </c>
      <c r="N129" t="s">
        <v>352</v>
      </c>
      <c r="O129" t="s">
        <v>354</v>
      </c>
      <c r="P129">
        <v>540</v>
      </c>
    </row>
    <row r="130" spans="1:16" x14ac:dyDescent="0.25">
      <c r="A130" t="s">
        <v>54</v>
      </c>
      <c r="B130">
        <v>-76.309595000000002</v>
      </c>
      <c r="C130">
        <v>42.809291000000002</v>
      </c>
      <c r="D130">
        <v>8</v>
      </c>
      <c r="E130" t="s">
        <v>363</v>
      </c>
      <c r="F130" t="s">
        <v>359</v>
      </c>
      <c r="G130">
        <v>174</v>
      </c>
      <c r="H130">
        <v>36</v>
      </c>
      <c r="I130">
        <v>0</v>
      </c>
      <c r="J130" t="s">
        <v>352</v>
      </c>
      <c r="K130" t="s">
        <v>356</v>
      </c>
      <c r="L130">
        <v>0</v>
      </c>
      <c r="M130">
        <v>0</v>
      </c>
      <c r="N130" t="s">
        <v>352</v>
      </c>
      <c r="O130" t="s">
        <v>356</v>
      </c>
      <c r="P130">
        <v>316</v>
      </c>
    </row>
    <row r="131" spans="1:16" x14ac:dyDescent="0.25">
      <c r="A131" t="s">
        <v>55</v>
      </c>
      <c r="B131">
        <v>-76.294551999999996</v>
      </c>
      <c r="C131">
        <v>42.810949999999998</v>
      </c>
      <c r="D131">
        <v>11</v>
      </c>
      <c r="E131" t="s">
        <v>363</v>
      </c>
      <c r="F131" t="s">
        <v>359</v>
      </c>
      <c r="G131">
        <v>480</v>
      </c>
      <c r="H131">
        <v>301</v>
      </c>
      <c r="I131">
        <v>2</v>
      </c>
      <c r="J131" t="s">
        <v>352</v>
      </c>
      <c r="K131" t="s">
        <v>355</v>
      </c>
      <c r="P131">
        <v>206</v>
      </c>
    </row>
    <row r="132" spans="1:16" x14ac:dyDescent="0.25">
      <c r="A132" t="s">
        <v>172</v>
      </c>
      <c r="B132">
        <v>-76.294551999999996</v>
      </c>
      <c r="C132">
        <v>42.810949999999998</v>
      </c>
      <c r="D132">
        <v>11</v>
      </c>
      <c r="E132" t="s">
        <v>363</v>
      </c>
      <c r="F132" t="s">
        <v>360</v>
      </c>
      <c r="P132">
        <v>266</v>
      </c>
    </row>
    <row r="133" spans="1:16" x14ac:dyDescent="0.25">
      <c r="A133" t="s">
        <v>173</v>
      </c>
      <c r="B133">
        <v>-76.309424000000007</v>
      </c>
      <c r="C133">
        <v>42.809382999999997</v>
      </c>
      <c r="D133">
        <v>12</v>
      </c>
      <c r="E133" t="s">
        <v>363</v>
      </c>
      <c r="F133" t="s">
        <v>359</v>
      </c>
      <c r="L133">
        <v>56</v>
      </c>
      <c r="M133">
        <v>1</v>
      </c>
      <c r="N133" t="s">
        <v>352</v>
      </c>
      <c r="O133" t="s">
        <v>355</v>
      </c>
      <c r="P133">
        <v>58</v>
      </c>
    </row>
    <row r="134" spans="1:16" x14ac:dyDescent="0.25">
      <c r="A134" t="s">
        <v>57</v>
      </c>
      <c r="B134">
        <v>-76.294614999999993</v>
      </c>
      <c r="C134">
        <v>42.810983999999998</v>
      </c>
      <c r="D134">
        <v>14</v>
      </c>
      <c r="E134" t="s">
        <v>363</v>
      </c>
      <c r="F134" t="s">
        <v>359</v>
      </c>
      <c r="G134">
        <v>518</v>
      </c>
      <c r="H134">
        <v>167</v>
      </c>
      <c r="I134">
        <v>1</v>
      </c>
      <c r="J134" t="s">
        <v>352</v>
      </c>
      <c r="K134" t="s">
        <v>355</v>
      </c>
      <c r="P134">
        <v>209</v>
      </c>
    </row>
    <row r="135" spans="1:16" x14ac:dyDescent="0.25">
      <c r="A135" t="s">
        <v>174</v>
      </c>
      <c r="B135">
        <v>-76.294614999999993</v>
      </c>
      <c r="C135">
        <v>42.810983999999998</v>
      </c>
      <c r="D135">
        <v>14</v>
      </c>
      <c r="E135" t="s">
        <v>363</v>
      </c>
      <c r="F135" t="s">
        <v>360</v>
      </c>
      <c r="P135">
        <v>100</v>
      </c>
    </row>
    <row r="136" spans="1:16" x14ac:dyDescent="0.25">
      <c r="A136" t="s">
        <v>175</v>
      </c>
      <c r="B136">
        <v>-76.309289000000007</v>
      </c>
      <c r="C136">
        <v>42.809323999999997</v>
      </c>
      <c r="D136">
        <v>14</v>
      </c>
      <c r="E136" t="s">
        <v>363</v>
      </c>
      <c r="F136" t="s">
        <v>359</v>
      </c>
      <c r="L136">
        <v>160</v>
      </c>
      <c r="M136">
        <v>0</v>
      </c>
      <c r="N136" t="s">
        <v>352</v>
      </c>
      <c r="O136" t="s">
        <v>355</v>
      </c>
      <c r="P136">
        <v>101</v>
      </c>
    </row>
    <row r="137" spans="1:16" x14ac:dyDescent="0.25">
      <c r="A137" t="s">
        <v>58</v>
      </c>
      <c r="B137">
        <v>-76.294678000000005</v>
      </c>
      <c r="C137">
        <v>42.810949999999998</v>
      </c>
      <c r="D137">
        <v>17</v>
      </c>
      <c r="E137" t="s">
        <v>363</v>
      </c>
      <c r="F137" t="s">
        <v>359</v>
      </c>
      <c r="G137">
        <v>93</v>
      </c>
      <c r="H137">
        <v>121</v>
      </c>
      <c r="I137">
        <v>1</v>
      </c>
      <c r="J137" t="s">
        <v>352</v>
      </c>
      <c r="K137" t="s">
        <v>355</v>
      </c>
      <c r="P137">
        <v>219</v>
      </c>
    </row>
    <row r="138" spans="1:16" x14ac:dyDescent="0.25">
      <c r="A138" t="s">
        <v>176</v>
      </c>
      <c r="B138">
        <v>-76.309134999999998</v>
      </c>
      <c r="C138">
        <v>42.809303999999997</v>
      </c>
      <c r="D138">
        <v>17</v>
      </c>
      <c r="E138" t="s">
        <v>363</v>
      </c>
      <c r="F138" t="s">
        <v>359</v>
      </c>
      <c r="L138">
        <v>99</v>
      </c>
      <c r="M138">
        <v>2</v>
      </c>
      <c r="N138" t="s">
        <v>352</v>
      </c>
      <c r="O138" t="s">
        <v>355</v>
      </c>
      <c r="P138">
        <v>190</v>
      </c>
    </row>
    <row r="139" spans="1:16" x14ac:dyDescent="0.25">
      <c r="A139" t="s">
        <v>177</v>
      </c>
      <c r="B139">
        <v>-76.293622999999997</v>
      </c>
      <c r="C139">
        <v>42.809680999999998</v>
      </c>
      <c r="D139">
        <v>24</v>
      </c>
      <c r="E139" t="s">
        <v>363</v>
      </c>
      <c r="F139" t="s">
        <v>359</v>
      </c>
      <c r="L139">
        <v>575</v>
      </c>
      <c r="M139">
        <v>2</v>
      </c>
      <c r="N139" t="s">
        <v>352</v>
      </c>
      <c r="O139" t="s">
        <v>355</v>
      </c>
      <c r="P139">
        <v>96</v>
      </c>
    </row>
    <row r="140" spans="1:16" x14ac:dyDescent="0.25">
      <c r="A140" t="s">
        <v>178</v>
      </c>
      <c r="B140">
        <v>-76.308937</v>
      </c>
      <c r="C140">
        <v>42.809263999999999</v>
      </c>
      <c r="D140">
        <v>24</v>
      </c>
      <c r="E140" t="s">
        <v>363</v>
      </c>
      <c r="F140" t="s">
        <v>359</v>
      </c>
      <c r="L140">
        <v>186</v>
      </c>
      <c r="M140">
        <v>1</v>
      </c>
      <c r="N140" t="s">
        <v>352</v>
      </c>
      <c r="O140" t="s">
        <v>355</v>
      </c>
      <c r="P140">
        <v>23</v>
      </c>
    </row>
    <row r="141" spans="1:16" x14ac:dyDescent="0.25">
      <c r="A141" t="s">
        <v>293</v>
      </c>
      <c r="B141">
        <v>-76.308739000000003</v>
      </c>
      <c r="C141">
        <v>42.809251000000003</v>
      </c>
      <c r="D141">
        <v>30</v>
      </c>
      <c r="E141" t="s">
        <v>363</v>
      </c>
      <c r="F141" t="s">
        <v>359</v>
      </c>
      <c r="L141">
        <v>292</v>
      </c>
      <c r="M141">
        <v>1</v>
      </c>
      <c r="N141" t="s">
        <v>352</v>
      </c>
      <c r="O141" t="s">
        <v>355</v>
      </c>
      <c r="P141">
        <v>129</v>
      </c>
    </row>
    <row r="142" spans="1:16" x14ac:dyDescent="0.25">
      <c r="A142" t="s">
        <v>179</v>
      </c>
      <c r="B142">
        <v>-76.293777000000006</v>
      </c>
      <c r="C142">
        <v>42.809516000000002</v>
      </c>
      <c r="D142">
        <v>31</v>
      </c>
      <c r="E142" t="s">
        <v>363</v>
      </c>
      <c r="F142" t="s">
        <v>359</v>
      </c>
      <c r="L142">
        <v>167</v>
      </c>
      <c r="M142">
        <v>2</v>
      </c>
      <c r="N142" t="s">
        <v>352</v>
      </c>
      <c r="O142" t="s">
        <v>355</v>
      </c>
      <c r="P142">
        <v>40</v>
      </c>
    </row>
    <row r="143" spans="1:16" x14ac:dyDescent="0.25">
      <c r="A143" t="s">
        <v>180</v>
      </c>
      <c r="B143">
        <v>-76.308504999999997</v>
      </c>
      <c r="C143">
        <v>42.809263999999999</v>
      </c>
      <c r="D143">
        <v>35</v>
      </c>
      <c r="E143" t="s">
        <v>363</v>
      </c>
      <c r="F143" t="s">
        <v>359</v>
      </c>
      <c r="L143">
        <v>153</v>
      </c>
      <c r="M143">
        <v>2</v>
      </c>
      <c r="N143" t="s">
        <v>352</v>
      </c>
      <c r="O143" t="s">
        <v>355</v>
      </c>
      <c r="P143">
        <v>166</v>
      </c>
    </row>
    <row r="144" spans="1:16" x14ac:dyDescent="0.25">
      <c r="A144" t="s">
        <v>181</v>
      </c>
      <c r="B144">
        <v>-76.293858</v>
      </c>
      <c r="C144">
        <v>42.809475999999997</v>
      </c>
      <c r="D144">
        <v>38</v>
      </c>
      <c r="E144" t="s">
        <v>363</v>
      </c>
      <c r="F144" t="s">
        <v>359</v>
      </c>
      <c r="L144">
        <v>124</v>
      </c>
      <c r="M144">
        <v>1</v>
      </c>
      <c r="N144" t="s">
        <v>352</v>
      </c>
      <c r="O144" t="s">
        <v>355</v>
      </c>
      <c r="P144">
        <v>152</v>
      </c>
    </row>
    <row r="145" spans="1:16" x14ac:dyDescent="0.25">
      <c r="A145" t="s">
        <v>182</v>
      </c>
      <c r="B145">
        <v>-76.308386999999996</v>
      </c>
      <c r="C145">
        <v>42.809364000000002</v>
      </c>
      <c r="D145">
        <v>43</v>
      </c>
      <c r="E145" t="s">
        <v>363</v>
      </c>
      <c r="F145" t="s">
        <v>359</v>
      </c>
      <c r="L145">
        <v>105</v>
      </c>
      <c r="M145">
        <v>2</v>
      </c>
      <c r="N145" t="s">
        <v>352</v>
      </c>
      <c r="O145" t="s">
        <v>355</v>
      </c>
      <c r="P145">
        <v>185</v>
      </c>
    </row>
    <row r="146" spans="1:16" x14ac:dyDescent="0.25">
      <c r="A146" t="s">
        <v>183</v>
      </c>
      <c r="B146">
        <v>-76.294020000000003</v>
      </c>
      <c r="C146">
        <v>42.809443000000002</v>
      </c>
      <c r="D146">
        <v>45</v>
      </c>
      <c r="E146" t="s">
        <v>363</v>
      </c>
      <c r="F146" t="s">
        <v>359</v>
      </c>
      <c r="L146">
        <v>86</v>
      </c>
      <c r="M146">
        <v>1</v>
      </c>
      <c r="N146" t="s">
        <v>352</v>
      </c>
      <c r="O146" t="s">
        <v>355</v>
      </c>
      <c r="P146">
        <v>44</v>
      </c>
    </row>
    <row r="147" spans="1:16" x14ac:dyDescent="0.25">
      <c r="A147" t="s">
        <v>184</v>
      </c>
      <c r="B147">
        <v>-76.308134999999993</v>
      </c>
      <c r="C147">
        <v>42.809330000000003</v>
      </c>
      <c r="D147">
        <v>50</v>
      </c>
      <c r="E147" t="s">
        <v>363</v>
      </c>
      <c r="F147" t="s">
        <v>359</v>
      </c>
      <c r="L147">
        <v>123</v>
      </c>
      <c r="M147">
        <v>2</v>
      </c>
      <c r="N147" t="s">
        <v>352</v>
      </c>
      <c r="O147" t="s">
        <v>355</v>
      </c>
      <c r="P147">
        <v>50</v>
      </c>
    </row>
    <row r="148" spans="1:16" x14ac:dyDescent="0.25">
      <c r="A148" t="s">
        <v>185</v>
      </c>
      <c r="B148">
        <v>-76.294263000000001</v>
      </c>
      <c r="C148">
        <v>42.809455999999997</v>
      </c>
      <c r="D148">
        <v>52</v>
      </c>
      <c r="E148" t="s">
        <v>363</v>
      </c>
      <c r="F148" t="s">
        <v>359</v>
      </c>
      <c r="L148">
        <v>134</v>
      </c>
      <c r="M148">
        <v>2</v>
      </c>
      <c r="N148" t="s">
        <v>352</v>
      </c>
      <c r="O148" t="s">
        <v>355</v>
      </c>
      <c r="P148">
        <v>86</v>
      </c>
    </row>
    <row r="149" spans="1:16" x14ac:dyDescent="0.25">
      <c r="A149" t="s">
        <v>186</v>
      </c>
      <c r="B149">
        <v>-76.295317999999995</v>
      </c>
      <c r="C149">
        <v>42.809694</v>
      </c>
      <c r="D149">
        <v>65</v>
      </c>
      <c r="E149" t="s">
        <v>363</v>
      </c>
      <c r="F149" t="s">
        <v>359</v>
      </c>
      <c r="P149">
        <v>1</v>
      </c>
    </row>
    <row r="150" spans="1:16" x14ac:dyDescent="0.25">
      <c r="A150" t="s">
        <v>187</v>
      </c>
      <c r="B150">
        <v>-76.307603</v>
      </c>
      <c r="C150">
        <v>42.809336999999999</v>
      </c>
      <c r="D150">
        <v>65</v>
      </c>
      <c r="E150" t="s">
        <v>363</v>
      </c>
      <c r="F150" t="s">
        <v>359</v>
      </c>
      <c r="P150">
        <v>98</v>
      </c>
    </row>
    <row r="151" spans="1:16" x14ac:dyDescent="0.25">
      <c r="A151" t="s">
        <v>188</v>
      </c>
      <c r="B151">
        <v>-76.307603</v>
      </c>
      <c r="C151">
        <v>42.809336999999999</v>
      </c>
      <c r="D151">
        <v>65</v>
      </c>
      <c r="E151" t="s">
        <v>363</v>
      </c>
      <c r="F151" t="s">
        <v>360</v>
      </c>
      <c r="P151">
        <v>60</v>
      </c>
    </row>
    <row r="152" spans="1:16" x14ac:dyDescent="0.25">
      <c r="A152" t="s">
        <v>189</v>
      </c>
      <c r="B152">
        <v>-76.307288</v>
      </c>
      <c r="C152">
        <v>42.80941</v>
      </c>
      <c r="D152">
        <v>72</v>
      </c>
      <c r="E152" t="s">
        <v>363</v>
      </c>
      <c r="F152" t="s">
        <v>359</v>
      </c>
      <c r="P152">
        <v>41</v>
      </c>
    </row>
    <row r="153" spans="1:16" x14ac:dyDescent="0.25">
      <c r="A153" t="s">
        <v>190</v>
      </c>
      <c r="B153">
        <v>-76.307288</v>
      </c>
      <c r="C153">
        <v>42.809555000000003</v>
      </c>
      <c r="D153">
        <v>74</v>
      </c>
      <c r="E153" t="s">
        <v>363</v>
      </c>
      <c r="F153" t="s">
        <v>359</v>
      </c>
      <c r="P153">
        <v>58</v>
      </c>
    </row>
    <row r="154" spans="1:16" x14ac:dyDescent="0.25">
      <c r="A154" t="s">
        <v>191</v>
      </c>
      <c r="B154">
        <v>-76.296030000000002</v>
      </c>
      <c r="C154">
        <v>42.809654000000002</v>
      </c>
      <c r="D154">
        <v>75</v>
      </c>
      <c r="E154" t="s">
        <v>363</v>
      </c>
      <c r="F154" t="s">
        <v>359</v>
      </c>
      <c r="P154">
        <v>117</v>
      </c>
    </row>
    <row r="155" spans="1:16" x14ac:dyDescent="0.25">
      <c r="A155" t="s">
        <v>192</v>
      </c>
      <c r="B155">
        <v>-76.297571000000005</v>
      </c>
      <c r="C155">
        <v>42.809483</v>
      </c>
      <c r="D155">
        <v>80</v>
      </c>
      <c r="E155" t="s">
        <v>363</v>
      </c>
      <c r="F155" t="s">
        <v>359</v>
      </c>
      <c r="P155">
        <v>9</v>
      </c>
    </row>
    <row r="156" spans="1:16" x14ac:dyDescent="0.25">
      <c r="A156" t="s">
        <v>244</v>
      </c>
      <c r="B156">
        <v>-76.305340999999999</v>
      </c>
      <c r="C156">
        <v>42.809323999999997</v>
      </c>
      <c r="D156">
        <v>80</v>
      </c>
      <c r="E156" t="s">
        <v>363</v>
      </c>
      <c r="F156" t="s">
        <v>359</v>
      </c>
      <c r="P156">
        <v>0</v>
      </c>
    </row>
    <row r="157" spans="1:16" x14ac:dyDescent="0.25">
      <c r="A157" t="s">
        <v>193</v>
      </c>
      <c r="B157">
        <v>-76.301123000000004</v>
      </c>
      <c r="C157">
        <v>42.809423000000002</v>
      </c>
      <c r="D157">
        <v>82</v>
      </c>
      <c r="E157" t="s">
        <v>363</v>
      </c>
      <c r="F157" t="s">
        <v>359</v>
      </c>
      <c r="P157">
        <v>2</v>
      </c>
    </row>
    <row r="158" spans="1:16" x14ac:dyDescent="0.25">
      <c r="A158" t="s">
        <v>194</v>
      </c>
      <c r="B158">
        <v>-76.270216000000005</v>
      </c>
      <c r="C158">
        <v>42.772196999999998</v>
      </c>
      <c r="D158">
        <v>2</v>
      </c>
      <c r="E158" t="s">
        <v>372</v>
      </c>
      <c r="F158" t="s">
        <v>359</v>
      </c>
      <c r="L158">
        <v>140</v>
      </c>
      <c r="M158">
        <v>2</v>
      </c>
      <c r="N158" t="s">
        <v>357</v>
      </c>
      <c r="O158" t="s">
        <v>355</v>
      </c>
      <c r="P158">
        <v>266</v>
      </c>
    </row>
    <row r="159" spans="1:16" x14ac:dyDescent="0.25">
      <c r="A159" t="s">
        <v>195</v>
      </c>
      <c r="B159">
        <v>-76.280788000000001</v>
      </c>
      <c r="C159">
        <v>42.779296000000002</v>
      </c>
      <c r="D159">
        <v>2</v>
      </c>
      <c r="E159" t="s">
        <v>372</v>
      </c>
      <c r="F159" t="s">
        <v>359</v>
      </c>
      <c r="L159">
        <v>129</v>
      </c>
      <c r="M159">
        <v>1</v>
      </c>
      <c r="N159" t="s">
        <v>357</v>
      </c>
      <c r="O159" t="s">
        <v>354</v>
      </c>
      <c r="P159">
        <v>74</v>
      </c>
    </row>
    <row r="160" spans="1:16" x14ac:dyDescent="0.25">
      <c r="A160" t="s">
        <v>196</v>
      </c>
      <c r="B160">
        <v>-76.269115999999997</v>
      </c>
      <c r="C160">
        <v>42.779567999999998</v>
      </c>
      <c r="D160">
        <v>3</v>
      </c>
      <c r="E160" t="s">
        <v>372</v>
      </c>
      <c r="F160" t="s">
        <v>359</v>
      </c>
      <c r="L160">
        <v>216</v>
      </c>
      <c r="M160">
        <v>1</v>
      </c>
      <c r="N160" t="s">
        <v>357</v>
      </c>
      <c r="O160" t="s">
        <v>380</v>
      </c>
      <c r="P160">
        <v>1</v>
      </c>
    </row>
    <row r="161" spans="1:16" x14ac:dyDescent="0.25">
      <c r="A161" t="s">
        <v>197</v>
      </c>
      <c r="B161">
        <v>-76.280670999999998</v>
      </c>
      <c r="C161">
        <v>42.779349000000003</v>
      </c>
      <c r="D161">
        <v>3</v>
      </c>
      <c r="E161" t="s">
        <v>372</v>
      </c>
      <c r="F161" t="s">
        <v>359</v>
      </c>
      <c r="L161">
        <v>125</v>
      </c>
      <c r="M161">
        <v>1</v>
      </c>
      <c r="N161" t="s">
        <v>352</v>
      </c>
      <c r="O161" t="s">
        <v>355</v>
      </c>
      <c r="P161">
        <v>444</v>
      </c>
    </row>
    <row r="162" spans="1:16" x14ac:dyDescent="0.25">
      <c r="A162" t="s">
        <v>198</v>
      </c>
      <c r="B162">
        <v>-76.280670999999998</v>
      </c>
      <c r="C162">
        <v>42.779349000000003</v>
      </c>
      <c r="D162">
        <v>3</v>
      </c>
      <c r="E162" t="s">
        <v>372</v>
      </c>
      <c r="F162" t="s">
        <v>360</v>
      </c>
      <c r="L162">
        <v>112</v>
      </c>
      <c r="M162">
        <v>1</v>
      </c>
      <c r="N162" t="s">
        <v>352</v>
      </c>
      <c r="O162" t="s">
        <v>355</v>
      </c>
      <c r="P162">
        <v>157</v>
      </c>
    </row>
    <row r="163" spans="1:16" x14ac:dyDescent="0.25">
      <c r="A163" t="s">
        <v>199</v>
      </c>
      <c r="B163">
        <v>-76.269205999999997</v>
      </c>
      <c r="C163">
        <v>42.779508</v>
      </c>
      <c r="D163">
        <v>5</v>
      </c>
      <c r="E163" t="s">
        <v>372</v>
      </c>
      <c r="F163" t="s">
        <v>359</v>
      </c>
      <c r="L163">
        <v>207</v>
      </c>
      <c r="M163">
        <v>1</v>
      </c>
      <c r="N163" t="s">
        <v>352</v>
      </c>
      <c r="O163" t="s">
        <v>380</v>
      </c>
      <c r="P163">
        <v>152</v>
      </c>
    </row>
    <row r="164" spans="1:16" x14ac:dyDescent="0.25">
      <c r="A164" t="s">
        <v>200</v>
      </c>
      <c r="B164">
        <v>-76.280518000000001</v>
      </c>
      <c r="C164">
        <v>42.779176999999997</v>
      </c>
      <c r="D164">
        <v>5</v>
      </c>
      <c r="E164" t="s">
        <v>372</v>
      </c>
      <c r="F164" t="s">
        <v>359</v>
      </c>
      <c r="L164">
        <v>351</v>
      </c>
      <c r="M164">
        <v>2</v>
      </c>
      <c r="N164" t="s">
        <v>352</v>
      </c>
      <c r="O164" t="s">
        <v>355</v>
      </c>
      <c r="P164">
        <v>131</v>
      </c>
    </row>
    <row r="165" spans="1:16" x14ac:dyDescent="0.25">
      <c r="A165" t="s">
        <v>201</v>
      </c>
      <c r="B165">
        <v>-76.269458999999998</v>
      </c>
      <c r="C165">
        <v>42.779494999999997</v>
      </c>
      <c r="D165">
        <v>8</v>
      </c>
      <c r="E165" t="s">
        <v>372</v>
      </c>
      <c r="F165" t="s">
        <v>359</v>
      </c>
      <c r="L165">
        <v>97</v>
      </c>
      <c r="M165">
        <v>2</v>
      </c>
      <c r="N165" t="s">
        <v>352</v>
      </c>
      <c r="O165" t="s">
        <v>353</v>
      </c>
      <c r="P165">
        <v>82</v>
      </c>
    </row>
    <row r="166" spans="1:16" x14ac:dyDescent="0.25">
      <c r="A166" t="s">
        <v>202</v>
      </c>
      <c r="B166">
        <v>-76.280383</v>
      </c>
      <c r="C166">
        <v>42.779131</v>
      </c>
      <c r="D166">
        <v>8</v>
      </c>
      <c r="E166" t="s">
        <v>372</v>
      </c>
      <c r="F166" t="s">
        <v>359</v>
      </c>
      <c r="L166">
        <v>314</v>
      </c>
      <c r="M166">
        <v>1</v>
      </c>
      <c r="N166" t="s">
        <v>352</v>
      </c>
      <c r="O166" t="s">
        <v>355</v>
      </c>
      <c r="P166">
        <v>175</v>
      </c>
    </row>
    <row r="167" spans="1:16" x14ac:dyDescent="0.25">
      <c r="A167" t="s">
        <v>203</v>
      </c>
      <c r="B167">
        <v>-76.269638999999998</v>
      </c>
      <c r="C167">
        <v>42.779521000000003</v>
      </c>
      <c r="D167">
        <v>11</v>
      </c>
      <c r="E167" t="s">
        <v>372</v>
      </c>
      <c r="F167" t="s">
        <v>359</v>
      </c>
      <c r="L167">
        <v>164</v>
      </c>
      <c r="M167">
        <v>1</v>
      </c>
      <c r="N167" t="s">
        <v>352</v>
      </c>
      <c r="O167" t="s">
        <v>355</v>
      </c>
      <c r="P167">
        <v>149</v>
      </c>
    </row>
    <row r="168" spans="1:16" x14ac:dyDescent="0.25">
      <c r="A168" t="s">
        <v>204</v>
      </c>
      <c r="B168">
        <v>-76.269675000000007</v>
      </c>
      <c r="C168">
        <v>42.779501000000003</v>
      </c>
      <c r="D168">
        <v>14</v>
      </c>
      <c r="E168" t="s">
        <v>372</v>
      </c>
      <c r="F168" t="s">
        <v>359</v>
      </c>
      <c r="L168">
        <v>183</v>
      </c>
      <c r="M168">
        <v>1</v>
      </c>
      <c r="N168" t="s">
        <v>352</v>
      </c>
      <c r="O168" t="s">
        <v>355</v>
      </c>
      <c r="P168">
        <v>81</v>
      </c>
    </row>
    <row r="169" spans="1:16" x14ac:dyDescent="0.25">
      <c r="A169" t="s">
        <v>205</v>
      </c>
      <c r="B169">
        <v>-76.28013</v>
      </c>
      <c r="C169">
        <v>42.779243000000001</v>
      </c>
      <c r="D169">
        <v>14</v>
      </c>
      <c r="E169" t="s">
        <v>372</v>
      </c>
      <c r="F169" t="s">
        <v>359</v>
      </c>
      <c r="L169">
        <v>304</v>
      </c>
      <c r="M169">
        <v>2</v>
      </c>
      <c r="N169" t="s">
        <v>352</v>
      </c>
      <c r="O169" t="s">
        <v>355</v>
      </c>
      <c r="P169">
        <v>54</v>
      </c>
    </row>
    <row r="170" spans="1:16" x14ac:dyDescent="0.25">
      <c r="A170" t="s">
        <v>206</v>
      </c>
      <c r="B170">
        <v>-76.269773999999998</v>
      </c>
      <c r="C170">
        <v>42.779553999999997</v>
      </c>
      <c r="D170">
        <v>17</v>
      </c>
      <c r="E170" t="s">
        <v>372</v>
      </c>
      <c r="F170" t="s">
        <v>359</v>
      </c>
      <c r="L170">
        <v>560</v>
      </c>
      <c r="M170">
        <v>0</v>
      </c>
      <c r="N170" t="s">
        <v>352</v>
      </c>
      <c r="O170" t="s">
        <v>355</v>
      </c>
      <c r="P170">
        <v>50</v>
      </c>
    </row>
    <row r="171" spans="1:16" x14ac:dyDescent="0.25">
      <c r="A171" t="s">
        <v>207</v>
      </c>
      <c r="B171">
        <v>-76.28004</v>
      </c>
      <c r="C171">
        <v>42.779176999999997</v>
      </c>
      <c r="D171">
        <v>17</v>
      </c>
      <c r="E171" t="s">
        <v>372</v>
      </c>
      <c r="F171" t="s">
        <v>359</v>
      </c>
      <c r="L171">
        <v>85</v>
      </c>
      <c r="M171">
        <v>1</v>
      </c>
      <c r="N171" t="s">
        <v>352</v>
      </c>
      <c r="O171" t="s">
        <v>355</v>
      </c>
      <c r="P171">
        <v>211</v>
      </c>
    </row>
    <row r="172" spans="1:16" x14ac:dyDescent="0.25">
      <c r="A172" t="s">
        <v>208</v>
      </c>
      <c r="B172">
        <v>-76.269953999999998</v>
      </c>
      <c r="C172">
        <v>42.779494999999997</v>
      </c>
      <c r="D172">
        <v>24</v>
      </c>
      <c r="E172" t="s">
        <v>372</v>
      </c>
      <c r="F172" t="s">
        <v>359</v>
      </c>
      <c r="L172">
        <v>373</v>
      </c>
      <c r="M172">
        <v>2</v>
      </c>
      <c r="N172" t="s">
        <v>352</v>
      </c>
      <c r="O172" t="s">
        <v>355</v>
      </c>
      <c r="P172">
        <v>251</v>
      </c>
    </row>
    <row r="173" spans="1:16" x14ac:dyDescent="0.25">
      <c r="A173" t="s">
        <v>209</v>
      </c>
      <c r="B173">
        <v>-76.279824000000005</v>
      </c>
      <c r="C173">
        <v>42.779263</v>
      </c>
      <c r="D173">
        <v>24</v>
      </c>
      <c r="E173" t="s">
        <v>372</v>
      </c>
      <c r="F173" t="s">
        <v>359</v>
      </c>
      <c r="L173">
        <v>379</v>
      </c>
      <c r="M173">
        <v>2</v>
      </c>
      <c r="N173" t="s">
        <v>352</v>
      </c>
      <c r="O173" t="s">
        <v>355</v>
      </c>
      <c r="P173">
        <v>54</v>
      </c>
    </row>
    <row r="174" spans="1:16" x14ac:dyDescent="0.25">
      <c r="A174" t="s">
        <v>210</v>
      </c>
      <c r="B174">
        <v>-76.270467999999994</v>
      </c>
      <c r="C174">
        <v>42.779434999999999</v>
      </c>
      <c r="D174">
        <v>31</v>
      </c>
      <c r="E174" t="s">
        <v>372</v>
      </c>
      <c r="F174" t="s">
        <v>359</v>
      </c>
      <c r="L174">
        <v>208</v>
      </c>
      <c r="M174">
        <v>2</v>
      </c>
      <c r="N174" t="s">
        <v>352</v>
      </c>
      <c r="O174" t="s">
        <v>355</v>
      </c>
      <c r="P174">
        <v>81</v>
      </c>
    </row>
    <row r="175" spans="1:16" x14ac:dyDescent="0.25">
      <c r="A175" t="s">
        <v>211</v>
      </c>
      <c r="B175">
        <v>-76.279634999999999</v>
      </c>
      <c r="C175">
        <v>42.779223999999999</v>
      </c>
      <c r="D175">
        <v>31</v>
      </c>
      <c r="E175" t="s">
        <v>372</v>
      </c>
      <c r="F175" t="s">
        <v>359</v>
      </c>
      <c r="L175">
        <v>337</v>
      </c>
      <c r="M175">
        <v>2</v>
      </c>
      <c r="N175" t="s">
        <v>352</v>
      </c>
      <c r="O175" t="s">
        <v>355</v>
      </c>
      <c r="P175">
        <v>304</v>
      </c>
    </row>
    <row r="176" spans="1:16" x14ac:dyDescent="0.25">
      <c r="A176" t="s">
        <v>212</v>
      </c>
      <c r="B176">
        <v>-76.271783999999997</v>
      </c>
      <c r="C176">
        <v>42.779494999999997</v>
      </c>
      <c r="D176">
        <v>38</v>
      </c>
      <c r="E176" t="s">
        <v>372</v>
      </c>
      <c r="F176" t="s">
        <v>359</v>
      </c>
      <c r="L176">
        <v>162</v>
      </c>
      <c r="M176">
        <v>2</v>
      </c>
      <c r="N176" t="s">
        <v>352</v>
      </c>
      <c r="O176" t="s">
        <v>355</v>
      </c>
      <c r="P176">
        <v>79</v>
      </c>
    </row>
    <row r="177" spans="1:16" x14ac:dyDescent="0.25">
      <c r="A177" t="s">
        <v>213</v>
      </c>
      <c r="B177">
        <v>-76.279364000000001</v>
      </c>
      <c r="C177">
        <v>42.779197000000003</v>
      </c>
      <c r="D177">
        <v>38</v>
      </c>
      <c r="E177" t="s">
        <v>372</v>
      </c>
      <c r="F177" t="s">
        <v>359</v>
      </c>
      <c r="L177">
        <v>218</v>
      </c>
      <c r="M177">
        <v>2</v>
      </c>
      <c r="N177" t="s">
        <v>352</v>
      </c>
      <c r="O177" t="s">
        <v>355</v>
      </c>
      <c r="P177">
        <v>82</v>
      </c>
    </row>
    <row r="178" spans="1:16" x14ac:dyDescent="0.25">
      <c r="A178" t="s">
        <v>214</v>
      </c>
      <c r="B178">
        <v>-76.273523999999995</v>
      </c>
      <c r="C178">
        <v>42.779429</v>
      </c>
      <c r="D178">
        <v>45</v>
      </c>
      <c r="E178" t="s">
        <v>372</v>
      </c>
      <c r="F178" t="s">
        <v>359</v>
      </c>
      <c r="L178">
        <v>146</v>
      </c>
      <c r="M178">
        <v>1</v>
      </c>
      <c r="N178" t="s">
        <v>352</v>
      </c>
      <c r="O178" t="s">
        <v>355</v>
      </c>
      <c r="P178">
        <v>48</v>
      </c>
    </row>
    <row r="179" spans="1:16" x14ac:dyDescent="0.25">
      <c r="A179" t="s">
        <v>215</v>
      </c>
      <c r="B179">
        <v>-76.278535000000005</v>
      </c>
      <c r="C179">
        <v>42.779237000000002</v>
      </c>
      <c r="D179">
        <v>45</v>
      </c>
      <c r="E179" t="s">
        <v>372</v>
      </c>
      <c r="F179" t="s">
        <v>359</v>
      </c>
      <c r="L179">
        <v>40</v>
      </c>
      <c r="M179">
        <v>2</v>
      </c>
      <c r="N179" t="s">
        <v>352</v>
      </c>
      <c r="O179" t="s">
        <v>355</v>
      </c>
      <c r="P179">
        <v>19</v>
      </c>
    </row>
    <row r="180" spans="1:16" x14ac:dyDescent="0.25">
      <c r="A180" t="s">
        <v>216</v>
      </c>
      <c r="B180">
        <v>-76.275875999999997</v>
      </c>
      <c r="C180">
        <v>42.779462000000002</v>
      </c>
      <c r="D180">
        <v>52</v>
      </c>
      <c r="E180" t="s">
        <v>372</v>
      </c>
      <c r="F180" t="s">
        <v>359</v>
      </c>
      <c r="L180">
        <v>27</v>
      </c>
      <c r="M180">
        <v>1</v>
      </c>
      <c r="N180" t="s">
        <v>352</v>
      </c>
      <c r="O180" t="s">
        <v>355</v>
      </c>
      <c r="P180">
        <v>20</v>
      </c>
    </row>
    <row r="181" spans="1:16" x14ac:dyDescent="0.25">
      <c r="A181" t="s">
        <v>59</v>
      </c>
      <c r="B181">
        <v>-76.278733000000003</v>
      </c>
      <c r="C181">
        <v>42.772502000000003</v>
      </c>
      <c r="D181">
        <v>1</v>
      </c>
      <c r="E181" t="s">
        <v>364</v>
      </c>
      <c r="F181" t="s">
        <v>359</v>
      </c>
      <c r="G181">
        <v>35</v>
      </c>
      <c r="H181">
        <v>1</v>
      </c>
      <c r="I181">
        <v>0</v>
      </c>
      <c r="J181" t="s">
        <v>352</v>
      </c>
      <c r="K181" t="s">
        <v>356</v>
      </c>
      <c r="P181">
        <v>26</v>
      </c>
    </row>
    <row r="182" spans="1:16" x14ac:dyDescent="0.25">
      <c r="A182" t="s">
        <v>61</v>
      </c>
      <c r="B182">
        <v>-76.278706</v>
      </c>
      <c r="C182">
        <v>42.772680000000001</v>
      </c>
      <c r="D182">
        <v>2</v>
      </c>
      <c r="E182" t="s">
        <v>364</v>
      </c>
      <c r="F182" t="s">
        <v>359</v>
      </c>
      <c r="G182">
        <v>29</v>
      </c>
      <c r="H182">
        <v>17</v>
      </c>
      <c r="I182">
        <v>0</v>
      </c>
      <c r="J182" t="s">
        <v>352</v>
      </c>
      <c r="K182" t="s">
        <v>356</v>
      </c>
      <c r="P182">
        <v>47</v>
      </c>
    </row>
    <row r="183" spans="1:16" x14ac:dyDescent="0.25">
      <c r="A183" t="s">
        <v>62</v>
      </c>
      <c r="B183">
        <v>-76.278328000000002</v>
      </c>
      <c r="C183">
        <v>42.772382999999998</v>
      </c>
      <c r="D183">
        <v>3</v>
      </c>
      <c r="E183" t="s">
        <v>364</v>
      </c>
      <c r="F183" t="s">
        <v>359</v>
      </c>
      <c r="G183">
        <v>154</v>
      </c>
      <c r="H183">
        <v>0</v>
      </c>
      <c r="I183">
        <v>0</v>
      </c>
      <c r="J183" t="s">
        <v>352</v>
      </c>
      <c r="K183" t="s">
        <v>356</v>
      </c>
      <c r="P183">
        <v>25</v>
      </c>
    </row>
    <row r="184" spans="1:16" x14ac:dyDescent="0.25">
      <c r="A184" t="s">
        <v>63</v>
      </c>
      <c r="B184">
        <v>-76.275191000000007</v>
      </c>
      <c r="C184">
        <v>42.772297000000002</v>
      </c>
      <c r="D184">
        <v>5</v>
      </c>
      <c r="E184" t="s">
        <v>364</v>
      </c>
      <c r="F184" t="s">
        <v>359</v>
      </c>
      <c r="G184">
        <v>46</v>
      </c>
      <c r="H184">
        <v>0</v>
      </c>
      <c r="I184">
        <v>0</v>
      </c>
      <c r="J184" t="s">
        <v>352</v>
      </c>
      <c r="K184" t="s">
        <v>356</v>
      </c>
      <c r="P184">
        <v>151</v>
      </c>
    </row>
    <row r="185" spans="1:16" x14ac:dyDescent="0.25">
      <c r="A185" t="s">
        <v>64</v>
      </c>
      <c r="B185">
        <v>-76.275191000000007</v>
      </c>
      <c r="C185">
        <v>42.772297000000002</v>
      </c>
      <c r="D185">
        <v>5</v>
      </c>
      <c r="E185" t="s">
        <v>364</v>
      </c>
      <c r="F185" t="s">
        <v>360</v>
      </c>
      <c r="G185">
        <v>134</v>
      </c>
      <c r="H185">
        <v>8</v>
      </c>
      <c r="I185">
        <v>0</v>
      </c>
      <c r="J185" t="s">
        <v>352</v>
      </c>
      <c r="K185" t="s">
        <v>354</v>
      </c>
      <c r="P185">
        <v>229</v>
      </c>
    </row>
    <row r="186" spans="1:16" x14ac:dyDescent="0.25">
      <c r="A186" t="s">
        <v>65</v>
      </c>
      <c r="B186">
        <v>-76.275642000000005</v>
      </c>
      <c r="C186">
        <v>42.772171</v>
      </c>
      <c r="D186">
        <v>5</v>
      </c>
      <c r="E186" t="s">
        <v>364</v>
      </c>
      <c r="F186" t="s">
        <v>359</v>
      </c>
      <c r="G186">
        <v>216</v>
      </c>
      <c r="H186">
        <v>74</v>
      </c>
      <c r="I186">
        <v>1</v>
      </c>
      <c r="J186" t="s">
        <v>352</v>
      </c>
      <c r="K186" t="s">
        <v>353</v>
      </c>
      <c r="P186">
        <v>72</v>
      </c>
    </row>
    <row r="187" spans="1:16" x14ac:dyDescent="0.25">
      <c r="A187" t="s">
        <v>66</v>
      </c>
      <c r="B187">
        <v>-76.275642000000005</v>
      </c>
      <c r="C187">
        <v>42.772171</v>
      </c>
      <c r="D187">
        <v>5</v>
      </c>
      <c r="E187" t="s">
        <v>364</v>
      </c>
      <c r="F187" t="s">
        <v>360</v>
      </c>
      <c r="G187">
        <v>290</v>
      </c>
      <c r="H187">
        <v>6</v>
      </c>
      <c r="I187">
        <v>0</v>
      </c>
      <c r="J187" t="s">
        <v>352</v>
      </c>
      <c r="K187" t="s">
        <v>356</v>
      </c>
      <c r="P187">
        <v>96</v>
      </c>
    </row>
    <row r="188" spans="1:16" x14ac:dyDescent="0.25">
      <c r="A188" t="s">
        <v>67</v>
      </c>
      <c r="B188">
        <v>-76.421757999999997</v>
      </c>
      <c r="C188">
        <v>42.942070000000001</v>
      </c>
      <c r="D188">
        <v>1</v>
      </c>
      <c r="E188" t="s">
        <v>365</v>
      </c>
      <c r="F188" t="s">
        <v>359</v>
      </c>
      <c r="G188">
        <v>5</v>
      </c>
      <c r="H188">
        <v>13</v>
      </c>
      <c r="I188">
        <v>0</v>
      </c>
      <c r="J188" t="s">
        <v>357</v>
      </c>
      <c r="K188" t="s">
        <v>355</v>
      </c>
      <c r="P188">
        <v>0</v>
      </c>
    </row>
    <row r="189" spans="1:16" x14ac:dyDescent="0.25">
      <c r="A189" t="s">
        <v>69</v>
      </c>
      <c r="B189">
        <v>-76.421947000000003</v>
      </c>
      <c r="C189">
        <v>42.941892000000003</v>
      </c>
      <c r="D189">
        <v>2</v>
      </c>
      <c r="E189" t="s">
        <v>365</v>
      </c>
      <c r="F189" t="s">
        <v>359</v>
      </c>
      <c r="G189">
        <v>157</v>
      </c>
      <c r="H189">
        <v>59</v>
      </c>
      <c r="I189">
        <v>0</v>
      </c>
      <c r="J189" t="s">
        <v>357</v>
      </c>
      <c r="K189" t="s">
        <v>354</v>
      </c>
      <c r="P189">
        <v>1</v>
      </c>
    </row>
    <row r="190" spans="1:16" x14ac:dyDescent="0.25">
      <c r="A190" t="s">
        <v>71</v>
      </c>
      <c r="B190">
        <v>-76.423767499999997</v>
      </c>
      <c r="C190">
        <v>42.941133000000001</v>
      </c>
      <c r="D190">
        <v>3</v>
      </c>
      <c r="E190" t="s">
        <v>365</v>
      </c>
      <c r="F190" t="s">
        <v>359</v>
      </c>
      <c r="G190">
        <v>125</v>
      </c>
      <c r="H190">
        <v>8</v>
      </c>
      <c r="I190">
        <v>0</v>
      </c>
      <c r="J190" t="s">
        <v>352</v>
      </c>
      <c r="K190" t="s">
        <v>354</v>
      </c>
      <c r="P190">
        <v>67</v>
      </c>
    </row>
    <row r="191" spans="1:16" x14ac:dyDescent="0.25">
      <c r="A191" t="s">
        <v>72</v>
      </c>
      <c r="B191">
        <v>-76.422162999999998</v>
      </c>
      <c r="C191">
        <v>42.941760000000002</v>
      </c>
      <c r="D191">
        <v>3</v>
      </c>
      <c r="E191" t="s">
        <v>365</v>
      </c>
      <c r="F191" t="s">
        <v>360</v>
      </c>
      <c r="G191">
        <v>185</v>
      </c>
      <c r="H191">
        <v>31</v>
      </c>
      <c r="I191">
        <v>0</v>
      </c>
      <c r="J191" t="s">
        <v>352</v>
      </c>
      <c r="K191" t="s">
        <v>354</v>
      </c>
      <c r="P191">
        <v>87</v>
      </c>
    </row>
    <row r="192" spans="1:16" x14ac:dyDescent="0.25">
      <c r="A192" t="s">
        <v>73</v>
      </c>
      <c r="B192">
        <v>-76.422162999999998</v>
      </c>
      <c r="C192">
        <v>42.941760000000002</v>
      </c>
      <c r="D192">
        <v>3</v>
      </c>
      <c r="E192" t="s">
        <v>365</v>
      </c>
      <c r="F192" t="s">
        <v>366</v>
      </c>
      <c r="G192">
        <v>18</v>
      </c>
      <c r="H192">
        <v>7</v>
      </c>
      <c r="I192">
        <v>0</v>
      </c>
      <c r="J192" t="s">
        <v>352</v>
      </c>
      <c r="K192" t="s">
        <v>353</v>
      </c>
      <c r="P192">
        <v>2</v>
      </c>
    </row>
    <row r="193" spans="1:16" x14ac:dyDescent="0.25">
      <c r="A193" t="s">
        <v>217</v>
      </c>
      <c r="B193">
        <v>-76.414203999999998</v>
      </c>
      <c r="C193">
        <v>42.902982999999999</v>
      </c>
      <c r="D193">
        <v>21</v>
      </c>
      <c r="E193" t="s">
        <v>373</v>
      </c>
      <c r="F193" t="s">
        <v>359</v>
      </c>
      <c r="L193">
        <v>144</v>
      </c>
      <c r="M193">
        <v>2</v>
      </c>
      <c r="N193" t="s">
        <v>352</v>
      </c>
      <c r="O193" t="s">
        <v>355</v>
      </c>
      <c r="P193">
        <v>85</v>
      </c>
    </row>
    <row r="194" spans="1:16" x14ac:dyDescent="0.25">
      <c r="A194" t="s">
        <v>218</v>
      </c>
      <c r="B194">
        <v>-76.413736</v>
      </c>
      <c r="C194">
        <v>42.901980000000002</v>
      </c>
      <c r="D194">
        <v>24</v>
      </c>
      <c r="E194" t="s">
        <v>373</v>
      </c>
      <c r="F194" t="s">
        <v>359</v>
      </c>
      <c r="L194">
        <v>177</v>
      </c>
      <c r="M194">
        <v>2</v>
      </c>
      <c r="N194" t="s">
        <v>352</v>
      </c>
      <c r="O194" t="s">
        <v>355</v>
      </c>
      <c r="P194">
        <v>78</v>
      </c>
    </row>
    <row r="195" spans="1:16" x14ac:dyDescent="0.25">
      <c r="A195" t="s">
        <v>219</v>
      </c>
      <c r="B195">
        <v>-76.413383999999994</v>
      </c>
      <c r="C195">
        <v>42.901868</v>
      </c>
      <c r="D195">
        <v>28</v>
      </c>
      <c r="E195" t="s">
        <v>373</v>
      </c>
      <c r="F195" t="s">
        <v>359</v>
      </c>
      <c r="L195">
        <v>154</v>
      </c>
      <c r="M195">
        <v>2</v>
      </c>
      <c r="N195" t="s">
        <v>352</v>
      </c>
      <c r="O195" t="s">
        <v>355</v>
      </c>
      <c r="P195">
        <v>55</v>
      </c>
    </row>
    <row r="196" spans="1:16" x14ac:dyDescent="0.25">
      <c r="A196" t="s">
        <v>220</v>
      </c>
      <c r="B196">
        <v>-76.413177000000005</v>
      </c>
      <c r="C196">
        <v>42.902554000000002</v>
      </c>
      <c r="D196">
        <v>29</v>
      </c>
      <c r="E196" t="s">
        <v>373</v>
      </c>
      <c r="F196" t="s">
        <v>359</v>
      </c>
      <c r="L196">
        <v>311</v>
      </c>
      <c r="M196">
        <v>2</v>
      </c>
      <c r="N196" t="s">
        <v>352</v>
      </c>
      <c r="O196" t="s">
        <v>355</v>
      </c>
      <c r="P196">
        <v>140</v>
      </c>
    </row>
    <row r="197" spans="1:16" x14ac:dyDescent="0.25">
      <c r="A197" t="s">
        <v>221</v>
      </c>
      <c r="B197">
        <v>-76.412924000000004</v>
      </c>
      <c r="C197">
        <v>42.902171000000003</v>
      </c>
      <c r="D197">
        <v>32</v>
      </c>
      <c r="E197" t="s">
        <v>373</v>
      </c>
      <c r="F197" t="s">
        <v>359</v>
      </c>
      <c r="L197">
        <v>139</v>
      </c>
      <c r="M197">
        <v>2</v>
      </c>
      <c r="N197" t="s">
        <v>352</v>
      </c>
      <c r="O197" t="s">
        <v>355</v>
      </c>
      <c r="P197">
        <v>56</v>
      </c>
    </row>
    <row r="198" spans="1:16" x14ac:dyDescent="0.25">
      <c r="A198" t="s">
        <v>222</v>
      </c>
      <c r="B198">
        <v>-76.412482999999995</v>
      </c>
      <c r="C198">
        <v>42.90025</v>
      </c>
      <c r="D198">
        <v>35</v>
      </c>
      <c r="E198" t="s">
        <v>373</v>
      </c>
      <c r="F198" t="s">
        <v>359</v>
      </c>
      <c r="L198">
        <v>149</v>
      </c>
      <c r="M198">
        <v>2</v>
      </c>
      <c r="N198" t="s">
        <v>352</v>
      </c>
      <c r="O198" t="s">
        <v>355</v>
      </c>
      <c r="P198">
        <v>61</v>
      </c>
    </row>
    <row r="199" spans="1:16" x14ac:dyDescent="0.25">
      <c r="A199" t="s">
        <v>223</v>
      </c>
      <c r="B199">
        <v>-76.358096539069706</v>
      </c>
      <c r="C199">
        <v>42.861042438565697</v>
      </c>
      <c r="D199">
        <v>1</v>
      </c>
      <c r="E199" t="s">
        <v>375</v>
      </c>
      <c r="F199" t="s">
        <v>359</v>
      </c>
      <c r="L199">
        <v>21</v>
      </c>
      <c r="M199">
        <v>1</v>
      </c>
      <c r="N199" t="s">
        <v>352</v>
      </c>
      <c r="O199" t="s">
        <v>354</v>
      </c>
      <c r="P199">
        <v>1</v>
      </c>
    </row>
    <row r="200" spans="1:16" x14ac:dyDescent="0.25">
      <c r="A200" t="s">
        <v>224</v>
      </c>
      <c r="B200">
        <v>-76.358942999999996</v>
      </c>
      <c r="C200">
        <v>42.860548999999999</v>
      </c>
      <c r="D200">
        <v>6</v>
      </c>
      <c r="E200" t="s">
        <v>375</v>
      </c>
      <c r="F200" t="s">
        <v>359</v>
      </c>
      <c r="P200">
        <v>98</v>
      </c>
    </row>
    <row r="201" spans="1:16" x14ac:dyDescent="0.25">
      <c r="A201" t="s">
        <v>225</v>
      </c>
      <c r="B201">
        <v>-76.401138064722403</v>
      </c>
      <c r="C201">
        <v>42.901185842350301</v>
      </c>
      <c r="D201">
        <v>54</v>
      </c>
      <c r="E201" t="s">
        <v>375</v>
      </c>
      <c r="F201" t="s">
        <v>359</v>
      </c>
      <c r="P201">
        <v>5</v>
      </c>
    </row>
    <row r="202" spans="1:16" x14ac:dyDescent="0.25">
      <c r="A202" t="s">
        <v>226</v>
      </c>
      <c r="B202">
        <v>-76.401138064722403</v>
      </c>
      <c r="C202">
        <v>42.901185842350301</v>
      </c>
      <c r="D202">
        <v>54</v>
      </c>
      <c r="E202" t="s">
        <v>375</v>
      </c>
      <c r="F202" t="s">
        <v>360</v>
      </c>
      <c r="P202">
        <v>40</v>
      </c>
    </row>
    <row r="203" spans="1:16" x14ac:dyDescent="0.25">
      <c r="A203" t="s">
        <v>227</v>
      </c>
      <c r="B203">
        <v>-76.401138064722403</v>
      </c>
      <c r="C203">
        <v>42.901185842350301</v>
      </c>
      <c r="D203">
        <v>54</v>
      </c>
      <c r="E203" t="s">
        <v>375</v>
      </c>
      <c r="F203" t="s">
        <v>366</v>
      </c>
      <c r="P203">
        <v>24</v>
      </c>
    </row>
    <row r="204" spans="1:16" x14ac:dyDescent="0.25">
      <c r="A204" t="s">
        <v>228</v>
      </c>
      <c r="B204">
        <v>-76.300274999999999</v>
      </c>
      <c r="C204">
        <v>42.816490999999999</v>
      </c>
      <c r="D204">
        <v>1</v>
      </c>
      <c r="E204" t="s">
        <v>376</v>
      </c>
      <c r="F204" t="s">
        <v>359</v>
      </c>
      <c r="L204">
        <v>86</v>
      </c>
      <c r="M204">
        <v>1</v>
      </c>
      <c r="N204" t="s">
        <v>357</v>
      </c>
      <c r="O204" t="s">
        <v>355</v>
      </c>
      <c r="P204">
        <v>39</v>
      </c>
    </row>
    <row r="205" spans="1:16" x14ac:dyDescent="0.25">
      <c r="A205" t="s">
        <v>229</v>
      </c>
      <c r="B205">
        <v>-76.300362471763805</v>
      </c>
      <c r="C205">
        <v>42.816422608888097</v>
      </c>
      <c r="D205">
        <v>4</v>
      </c>
      <c r="E205" t="s">
        <v>376</v>
      </c>
      <c r="F205" t="s">
        <v>359</v>
      </c>
      <c r="L205">
        <v>170</v>
      </c>
      <c r="M205">
        <v>1</v>
      </c>
      <c r="N205" t="s">
        <v>357</v>
      </c>
      <c r="O205" t="s">
        <v>355</v>
      </c>
      <c r="P205">
        <v>78</v>
      </c>
    </row>
    <row r="206" spans="1:16" x14ac:dyDescent="0.25">
      <c r="A206" t="s">
        <v>230</v>
      </c>
      <c r="B206">
        <v>-76.299689000000001</v>
      </c>
      <c r="C206">
        <v>42.815697999999998</v>
      </c>
      <c r="D206">
        <v>8</v>
      </c>
      <c r="E206" t="s">
        <v>376</v>
      </c>
      <c r="F206" t="s">
        <v>359</v>
      </c>
      <c r="L206">
        <v>0</v>
      </c>
      <c r="M206">
        <v>0</v>
      </c>
      <c r="N206" t="s">
        <v>357</v>
      </c>
      <c r="O206" t="s">
        <v>355</v>
      </c>
      <c r="P206">
        <v>48</v>
      </c>
    </row>
    <row r="207" spans="1:16" x14ac:dyDescent="0.25">
      <c r="A207" t="s">
        <v>231</v>
      </c>
      <c r="B207">
        <v>-76.300149000000005</v>
      </c>
      <c r="C207">
        <v>42.815572000000003</v>
      </c>
      <c r="D207">
        <v>21</v>
      </c>
      <c r="E207" t="s">
        <v>376</v>
      </c>
      <c r="F207" t="s">
        <v>359</v>
      </c>
      <c r="L207">
        <v>138</v>
      </c>
      <c r="M207">
        <v>1</v>
      </c>
      <c r="N207" t="s">
        <v>352</v>
      </c>
      <c r="O207" t="s">
        <v>355</v>
      </c>
      <c r="P207">
        <v>289</v>
      </c>
    </row>
    <row r="208" spans="1:16" x14ac:dyDescent="0.25">
      <c r="A208" t="s">
        <v>232</v>
      </c>
      <c r="B208">
        <v>-76.300284000000005</v>
      </c>
      <c r="C208">
        <v>42.815427</v>
      </c>
      <c r="D208">
        <v>27</v>
      </c>
      <c r="E208" t="s">
        <v>376</v>
      </c>
      <c r="F208" t="s">
        <v>359</v>
      </c>
      <c r="L208">
        <v>161</v>
      </c>
      <c r="M208">
        <v>1</v>
      </c>
      <c r="N208" t="s">
        <v>352</v>
      </c>
      <c r="O208" t="s">
        <v>355</v>
      </c>
      <c r="P208">
        <v>217</v>
      </c>
    </row>
    <row r="209" spans="1:16" x14ac:dyDescent="0.25">
      <c r="A209" t="s">
        <v>247</v>
      </c>
      <c r="B209">
        <v>-76.275154999999998</v>
      </c>
      <c r="C209">
        <v>42.789780999999998</v>
      </c>
      <c r="D209">
        <v>1</v>
      </c>
      <c r="E209" t="s">
        <v>377</v>
      </c>
      <c r="F209" t="s">
        <v>359</v>
      </c>
      <c r="L209">
        <v>75</v>
      </c>
      <c r="M209">
        <v>0</v>
      </c>
      <c r="N209" t="s">
        <v>357</v>
      </c>
      <c r="O209" t="s">
        <v>355</v>
      </c>
      <c r="P209">
        <v>0</v>
      </c>
    </row>
    <row r="210" spans="1:16" x14ac:dyDescent="0.25">
      <c r="A210" t="s">
        <v>234</v>
      </c>
      <c r="B210">
        <v>-76.275965999999997</v>
      </c>
      <c r="C210">
        <v>42.789648999999997</v>
      </c>
      <c r="D210">
        <v>21</v>
      </c>
      <c r="E210" t="s">
        <v>377</v>
      </c>
      <c r="F210" t="s">
        <v>359</v>
      </c>
      <c r="L210">
        <v>122</v>
      </c>
      <c r="M210">
        <v>1</v>
      </c>
      <c r="N210" t="s">
        <v>352</v>
      </c>
      <c r="O210" t="s">
        <v>355</v>
      </c>
      <c r="P210">
        <v>183</v>
      </c>
    </row>
    <row r="211" spans="1:16" x14ac:dyDescent="0.25">
      <c r="A211" t="s">
        <v>235</v>
      </c>
      <c r="B211">
        <v>-76.276047000000005</v>
      </c>
      <c r="C211">
        <v>42.789588999999999</v>
      </c>
      <c r="D211">
        <v>26</v>
      </c>
      <c r="E211" t="s">
        <v>377</v>
      </c>
      <c r="F211" t="s">
        <v>359</v>
      </c>
      <c r="L211">
        <v>48</v>
      </c>
      <c r="M211">
        <v>2</v>
      </c>
      <c r="N211" t="s">
        <v>352</v>
      </c>
      <c r="O211" t="s">
        <v>355</v>
      </c>
      <c r="P211">
        <v>45</v>
      </c>
    </row>
    <row r="212" spans="1:16" x14ac:dyDescent="0.25">
      <c r="A212" t="s">
        <v>236</v>
      </c>
      <c r="B212">
        <v>-76.276191999999995</v>
      </c>
      <c r="C212">
        <v>42.789648999999997</v>
      </c>
      <c r="D212">
        <v>29</v>
      </c>
      <c r="E212" t="s">
        <v>377</v>
      </c>
      <c r="F212" t="s">
        <v>359</v>
      </c>
      <c r="L212">
        <v>192</v>
      </c>
      <c r="M212">
        <v>1</v>
      </c>
      <c r="N212" t="s">
        <v>352</v>
      </c>
      <c r="O212" t="s">
        <v>355</v>
      </c>
      <c r="P212">
        <v>187</v>
      </c>
    </row>
    <row r="213" spans="1:16" x14ac:dyDescent="0.25">
      <c r="A213" t="s">
        <v>237</v>
      </c>
      <c r="B213">
        <v>-76.276191999999995</v>
      </c>
      <c r="C213">
        <v>42.789648999999997</v>
      </c>
      <c r="D213">
        <v>29</v>
      </c>
      <c r="E213" t="s">
        <v>377</v>
      </c>
      <c r="F213" t="s">
        <v>360</v>
      </c>
      <c r="P213">
        <v>140</v>
      </c>
    </row>
    <row r="214" spans="1:16" x14ac:dyDescent="0.25">
      <c r="A214" t="s">
        <v>238</v>
      </c>
      <c r="B214">
        <v>-76.293389000000005</v>
      </c>
      <c r="C214">
        <v>42.795620999999997</v>
      </c>
      <c r="D214">
        <v>58</v>
      </c>
      <c r="E214" t="s">
        <v>377</v>
      </c>
      <c r="F214" t="s">
        <v>359</v>
      </c>
      <c r="P214">
        <v>75</v>
      </c>
    </row>
    <row r="215" spans="1:16" x14ac:dyDescent="0.25">
      <c r="A215" t="s">
        <v>239</v>
      </c>
      <c r="B215">
        <v>-76.293299000000005</v>
      </c>
      <c r="C215">
        <v>42.796044999999999</v>
      </c>
      <c r="D215">
        <v>70</v>
      </c>
      <c r="E215" t="s">
        <v>377</v>
      </c>
      <c r="F215" t="s">
        <v>359</v>
      </c>
      <c r="P215">
        <v>67</v>
      </c>
    </row>
    <row r="216" spans="1:16" x14ac:dyDescent="0.25">
      <c r="A216" t="s">
        <v>240</v>
      </c>
      <c r="B216">
        <v>-76.293299000000005</v>
      </c>
      <c r="C216">
        <v>42.796044999999999</v>
      </c>
      <c r="D216">
        <v>70</v>
      </c>
      <c r="E216" t="s">
        <v>377</v>
      </c>
      <c r="F216" t="s">
        <v>360</v>
      </c>
      <c r="P216">
        <v>119</v>
      </c>
    </row>
    <row r="217" spans="1:16" x14ac:dyDescent="0.25">
      <c r="A217" t="s">
        <v>241</v>
      </c>
      <c r="B217">
        <v>-76.289242999999999</v>
      </c>
      <c r="C217">
        <v>42.797849999999997</v>
      </c>
      <c r="D217">
        <v>75</v>
      </c>
      <c r="E217" t="s">
        <v>377</v>
      </c>
      <c r="F217" t="s">
        <v>359</v>
      </c>
      <c r="P217">
        <v>4</v>
      </c>
    </row>
    <row r="218" spans="1:16" x14ac:dyDescent="0.25">
      <c r="A218" t="s">
        <v>242</v>
      </c>
      <c r="B218">
        <v>-76.290477999999993</v>
      </c>
      <c r="C218">
        <v>42.797367000000001</v>
      </c>
      <c r="D218">
        <v>75</v>
      </c>
      <c r="E218" t="s">
        <v>377</v>
      </c>
      <c r="F218" t="s">
        <v>359</v>
      </c>
      <c r="P2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</vt:lpstr>
      <vt:lpstr>nosubqual</vt:lpstr>
      <vt:lpstr>nosubqual_sorted</vt:lpstr>
      <vt:lpstr>Sheet1</vt:lpstr>
      <vt:lpstr>cover_y2p25eb</vt:lpstr>
      <vt:lpstr>Dive</vt:lpstr>
      <vt:lpstr>Photo Frame</vt:lpstr>
      <vt:lpstr>Ekman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Andrews</cp:lastModifiedBy>
  <dcterms:created xsi:type="dcterms:W3CDTF">2024-02-28T12:42:17Z</dcterms:created>
  <dcterms:modified xsi:type="dcterms:W3CDTF">2026-02-18T02:49:06Z</dcterms:modified>
</cp:coreProperties>
</file>